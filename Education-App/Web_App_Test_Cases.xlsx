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amt\Downloads\"/>
    </mc:Choice>
  </mc:AlternateContent>
  <xr:revisionPtr revIDLastSave="0" documentId="13_ncr:1_{8D70C053-06CC-42A4-97D7-25749950121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 i="1" l="1"/>
  <c r="G103" i="1"/>
  <c r="D103" i="1"/>
  <c r="H102" i="1"/>
  <c r="G102" i="1"/>
  <c r="H101" i="1"/>
  <c r="G101" i="1"/>
  <c r="E101" i="1"/>
  <c r="H100" i="1"/>
  <c r="K99" i="1"/>
  <c r="J99" i="1"/>
  <c r="H99" i="1"/>
  <c r="G99" i="1"/>
  <c r="E99" i="1"/>
  <c r="K98" i="1"/>
  <c r="J98" i="1"/>
  <c r="H98" i="1"/>
  <c r="G98" i="1"/>
  <c r="G97" i="1"/>
  <c r="G96" i="1"/>
  <c r="E95" i="1"/>
  <c r="H94" i="1"/>
  <c r="G94" i="1"/>
  <c r="H93" i="1"/>
  <c r="G93" i="1"/>
  <c r="H92" i="1"/>
  <c r="G92" i="1"/>
  <c r="J91" i="1"/>
  <c r="G91" i="1"/>
  <c r="J90" i="1"/>
  <c r="G90" i="1"/>
  <c r="D90" i="1"/>
  <c r="J89" i="1"/>
  <c r="G89" i="1"/>
  <c r="J88" i="1"/>
  <c r="H88" i="1"/>
  <c r="G88" i="1"/>
  <c r="H87" i="1"/>
  <c r="G87" i="1"/>
  <c r="J86" i="1"/>
  <c r="H86" i="1"/>
  <c r="G86" i="1"/>
  <c r="H85" i="1"/>
  <c r="G85" i="1"/>
  <c r="G84" i="1"/>
  <c r="K83" i="1"/>
  <c r="J83" i="1"/>
  <c r="G83" i="1"/>
  <c r="H82" i="1"/>
  <c r="G82" i="1"/>
  <c r="J81" i="1"/>
  <c r="G81" i="1"/>
  <c r="E81" i="1"/>
  <c r="J80" i="1"/>
  <c r="G80" i="1"/>
  <c r="E80" i="1"/>
  <c r="D80" i="1"/>
  <c r="H79" i="1"/>
  <c r="G79" i="1"/>
  <c r="J78" i="1"/>
  <c r="H78" i="1"/>
  <c r="G78" i="1"/>
  <c r="G77" i="1"/>
  <c r="H76" i="1"/>
  <c r="G76" i="1"/>
  <c r="H75" i="1"/>
  <c r="K74" i="1"/>
  <c r="J74" i="1"/>
  <c r="H74" i="1"/>
  <c r="H73" i="1"/>
  <c r="G73" i="1"/>
  <c r="H70" i="1"/>
  <c r="G70" i="1"/>
  <c r="D70" i="1"/>
  <c r="K69" i="1"/>
  <c r="J69" i="1"/>
  <c r="H68" i="1"/>
  <c r="G68" i="1"/>
  <c r="H67" i="1"/>
  <c r="G67" i="1"/>
  <c r="E67" i="1"/>
  <c r="H66" i="1"/>
  <c r="K65" i="1"/>
  <c r="J65" i="1"/>
  <c r="H65" i="1"/>
  <c r="G65" i="1"/>
  <c r="E65" i="1"/>
  <c r="K64" i="1"/>
  <c r="J64" i="1"/>
  <c r="H64" i="1"/>
  <c r="G64" i="1"/>
  <c r="G63" i="1"/>
  <c r="G62" i="1"/>
  <c r="E61" i="1"/>
  <c r="H60" i="1"/>
  <c r="G60" i="1"/>
  <c r="E60" i="1"/>
  <c r="H59" i="1"/>
  <c r="G59" i="1"/>
  <c r="E59" i="1"/>
  <c r="D59" i="1"/>
  <c r="H58" i="1"/>
  <c r="G58" i="1"/>
  <c r="E58" i="1"/>
  <c r="H57" i="1"/>
  <c r="G57" i="1"/>
  <c r="H56" i="1"/>
  <c r="G56" i="1"/>
  <c r="K55" i="1"/>
  <c r="J55" i="1"/>
  <c r="G55" i="1"/>
  <c r="D55" i="1"/>
  <c r="J54" i="1"/>
  <c r="H54" i="1"/>
  <c r="G54" i="1"/>
  <c r="H53" i="1"/>
  <c r="G53" i="1"/>
  <c r="H52" i="1"/>
  <c r="G52" i="1"/>
  <c r="H51" i="1"/>
  <c r="G51" i="1"/>
  <c r="G50" i="1"/>
  <c r="G49" i="1"/>
  <c r="H48" i="1"/>
  <c r="G48" i="1"/>
  <c r="D48" i="1"/>
  <c r="G47" i="1"/>
  <c r="J46" i="1"/>
  <c r="H46" i="1"/>
  <c r="G46" i="1"/>
  <c r="H45" i="1"/>
  <c r="G45" i="1"/>
  <c r="D45" i="1"/>
  <c r="J44" i="1"/>
  <c r="H44" i="1"/>
  <c r="G44" i="1"/>
  <c r="H43" i="1"/>
  <c r="G43" i="1"/>
  <c r="D43" i="1"/>
  <c r="H42" i="1"/>
  <c r="G42" i="1"/>
  <c r="J41" i="1"/>
  <c r="H41" i="1"/>
  <c r="G41" i="1"/>
  <c r="H40" i="1"/>
  <c r="G40" i="1"/>
  <c r="H39" i="1"/>
  <c r="G39" i="1"/>
  <c r="D39" i="1"/>
  <c r="H38" i="1"/>
  <c r="G38" i="1"/>
  <c r="H37" i="1"/>
  <c r="G37" i="1"/>
  <c r="H36" i="1"/>
  <c r="G36" i="1"/>
  <c r="H35" i="1"/>
  <c r="G35" i="1"/>
  <c r="H34" i="1"/>
  <c r="G34" i="1"/>
  <c r="H33" i="1"/>
  <c r="G33" i="1"/>
  <c r="H32" i="1"/>
  <c r="G32" i="1"/>
  <c r="H31" i="1"/>
  <c r="G31" i="1"/>
  <c r="J30" i="1"/>
  <c r="G30" i="1"/>
  <c r="H29" i="1"/>
  <c r="G29" i="1"/>
  <c r="J28" i="1"/>
  <c r="H28" i="1"/>
  <c r="G28" i="1"/>
  <c r="H27" i="1"/>
  <c r="G27" i="1"/>
  <c r="H26" i="1"/>
  <c r="G26" i="1"/>
  <c r="H25" i="1"/>
  <c r="G25" i="1"/>
  <c r="D25" i="1"/>
  <c r="H24" i="1"/>
  <c r="G24" i="1"/>
  <c r="D24" i="1"/>
  <c r="H23" i="1"/>
  <c r="G23" i="1"/>
  <c r="H22" i="1"/>
  <c r="G22" i="1"/>
  <c r="H21" i="1"/>
  <c r="G21" i="1"/>
  <c r="K20" i="1"/>
  <c r="J20" i="1"/>
  <c r="G20" i="1"/>
  <c r="H19" i="1"/>
  <c r="G19" i="1"/>
  <c r="H18" i="1"/>
  <c r="H17" i="1"/>
</calcChain>
</file>

<file path=xl/sharedStrings.xml><?xml version="1.0" encoding="utf-8"?>
<sst xmlns="http://schemas.openxmlformats.org/spreadsheetml/2006/main" count="639" uniqueCount="368">
  <si>
    <t>CH Rojgar(APP)</t>
  </si>
  <si>
    <t xml:space="preserve">Tested by:Rahul Nayak </t>
  </si>
  <si>
    <t xml:space="preserve">Modules </t>
  </si>
  <si>
    <t xml:space="preserve">Features </t>
  </si>
  <si>
    <t>Test Case ID</t>
  </si>
  <si>
    <t xml:space="preserve">Test Desciption </t>
  </si>
  <si>
    <t xml:space="preserve">Steps </t>
  </si>
  <si>
    <t xml:space="preserve">Input Data </t>
  </si>
  <si>
    <t>Expected Output</t>
  </si>
  <si>
    <t xml:space="preserve">Actual Output </t>
  </si>
  <si>
    <t xml:space="preserve">Status </t>
  </si>
  <si>
    <t xml:space="preserve">Impact </t>
  </si>
  <si>
    <t>Severity</t>
  </si>
  <si>
    <t>Screenshot</t>
  </si>
  <si>
    <t>Notes / Suggestion</t>
  </si>
  <si>
    <t xml:space="preserve">Installation </t>
  </si>
  <si>
    <t>APP Launch</t>
  </si>
  <si>
    <t>TC01</t>
  </si>
  <si>
    <t xml:space="preserve">Check if the Installation process is fast or not </t>
  </si>
  <si>
    <t>1. Click the LInk</t>
  </si>
  <si>
    <t>-</t>
  </si>
  <si>
    <t xml:space="preserve">INstallation should be faster </t>
  </si>
  <si>
    <t xml:space="preserve">Installation is faster </t>
  </si>
  <si>
    <t>pass</t>
  </si>
  <si>
    <t xml:space="preserve">Performance </t>
  </si>
  <si>
    <t>TC02</t>
  </si>
  <si>
    <t>verify wehether the dashboard is smooth and load faster</t>
  </si>
  <si>
    <t>1.Open the APP
2.Login into the system
3.Observe dashboard loading time</t>
  </si>
  <si>
    <t>Dashboard should load fast.</t>
  </si>
  <si>
    <t>Dashboard loads fast</t>
  </si>
  <si>
    <t>TC02.1</t>
  </si>
  <si>
    <t>verify wheather the whole page is loding at first time or not</t>
  </si>
  <si>
    <t>1.Open the App
2.Navigate to the main page
3.Check initial page load speed</t>
  </si>
  <si>
    <t>Page should load quickly first time.</t>
  </si>
  <si>
    <t>Page loads quickly first time</t>
  </si>
  <si>
    <t>TC03</t>
  </si>
  <si>
    <t>verify wheather the app is scrollable or not</t>
  </si>
  <si>
    <t xml:space="preserve">
1.Open the application
2.Navigate to any long page/dashboard
3.Try scrolling up and down</t>
  </si>
  <si>
    <t>Scrolling should be smooth.</t>
  </si>
  <si>
    <t>Scrolling is smooth without lag</t>
  </si>
  <si>
    <t>UI</t>
  </si>
  <si>
    <t>Ui</t>
  </si>
  <si>
    <t>TC04</t>
  </si>
  <si>
    <t>verify whether the UI is flexible and visible or not</t>
  </si>
  <si>
    <t xml:space="preserve">UI should be visible </t>
  </si>
  <si>
    <t xml:space="preserve">UI is properly Visible </t>
  </si>
  <si>
    <t>Pass</t>
  </si>
  <si>
    <t>Job Seeker</t>
  </si>
  <si>
    <t xml:space="preserve">Sign Up Page </t>
  </si>
  <si>
    <t>TC05</t>
  </si>
  <si>
    <t xml:space="preserve">Check whether the SIgn Up button is navigating to sign up page or not </t>
  </si>
  <si>
    <t xml:space="preserve">1. Click on the Sign Up page </t>
  </si>
  <si>
    <t xml:space="preserve">Sign Up page should open after clicking on the sign up button </t>
  </si>
  <si>
    <t xml:space="preserve">Sign Up button is navigating to sign up button </t>
  </si>
  <si>
    <t>TC06</t>
  </si>
  <si>
    <t xml:space="preserve">Check whether the field is marked compulsory is actually compulsory or not </t>
  </si>
  <si>
    <t xml:space="preserve">Cpmpulsory field should be filled madatorily </t>
  </si>
  <si>
    <t xml:space="preserve">It is actually not allowing blank any field </t>
  </si>
  <si>
    <t>TC07</t>
  </si>
  <si>
    <t xml:space="preserve">Verify whether the name, Father name, Surname  field onlt take alphabetic character only or not </t>
  </si>
  <si>
    <t xml:space="preserve">Rahul, Purnachandra, Nayak </t>
  </si>
  <si>
    <t xml:space="preserve">Name field should only allow alphabetical character </t>
  </si>
  <si>
    <t xml:space="preserve">Name is only allowing alphabetical character </t>
  </si>
  <si>
    <t>TC08</t>
  </si>
  <si>
    <t xml:space="preserve">Check whether the email id is validate or not </t>
  </si>
  <si>
    <t>prncnahak@gmail.com</t>
  </si>
  <si>
    <t>Email shuld be validate before move ahead</t>
  </si>
  <si>
    <t>TC09</t>
  </si>
  <si>
    <t xml:space="preserve">Check whether the Phone number is taking numeric value only and accepting 10 value only or not </t>
  </si>
  <si>
    <t xml:space="preserve">Phone number should accept 10 number and only numeric value </t>
  </si>
  <si>
    <t>TC10</t>
  </si>
  <si>
    <t xml:space="preserve">Check password field is strong enough or not </t>
  </si>
  <si>
    <t>Rahul@12</t>
  </si>
  <si>
    <t>TC11</t>
  </si>
  <si>
    <t xml:space="preserve">Check the dropdown (Freshar &amp; Experienced ) is getting selected or not </t>
  </si>
  <si>
    <t>Unable regestrain when we select Experienced in dropdown</t>
  </si>
  <si>
    <t>Fail</t>
  </si>
  <si>
    <t>https://drive.google.com/file/d/1SKdZog0TT2XgT9dIS3aqvyF0jj4WZadf/view?usp=drive_link</t>
  </si>
  <si>
    <t xml:space="preserve">if we select register field regestration show error &amp; also we must specify the pop up msg </t>
  </si>
  <si>
    <t>Done</t>
  </si>
  <si>
    <t>TC12</t>
  </si>
  <si>
    <t xml:space="preserve">Verify whether Register Now button is submiting all details or not </t>
  </si>
  <si>
    <t xml:space="preserve">1. Click on the Sign Up page                     2. Click on the Register Now Button </t>
  </si>
  <si>
    <t xml:space="preserve">After Click on Submit Button , its good that if user directly navigate to dashboard </t>
  </si>
  <si>
    <t>TC13</t>
  </si>
  <si>
    <t xml:space="preserve">Verify whether the Resume is uploading or not  </t>
  </si>
  <si>
    <t>1. Click on the Sign Up page                     2. Click on the Upload Resume</t>
  </si>
  <si>
    <t xml:space="preserve">Login Page </t>
  </si>
  <si>
    <t>TC14</t>
  </si>
  <si>
    <t>Check whether the user loged in after entering the false details or not</t>
  </si>
  <si>
    <t xml:space="preserve">1. Click on the Login Page </t>
  </si>
  <si>
    <t>chbjh</t>
  </si>
  <si>
    <t>TC15</t>
  </si>
  <si>
    <t>prncnahak@gmail.com, Rahul@12</t>
  </si>
  <si>
    <t>TC16</t>
  </si>
  <si>
    <t xml:space="preserve">1. Click on the Forget Password or not </t>
  </si>
  <si>
    <t>User unable to get their profille once he/she fail tha password</t>
  </si>
  <si>
    <t xml:space="preserve">Medium to high </t>
  </si>
  <si>
    <t>https://drive.google.com/file/d/1CKtCgBKAaxTasDijAUcrGkH6a3rp3r4e/view?usp=drive_link</t>
  </si>
  <si>
    <t>TC17</t>
  </si>
  <si>
    <t xml:space="preserve">Verify whether Login button is submiting all details or not </t>
  </si>
  <si>
    <t xml:space="preserve">1. Click on the Login Page                2. Click on the Login Button </t>
  </si>
  <si>
    <t xml:space="preserve">Profile Section </t>
  </si>
  <si>
    <t>TC18</t>
  </si>
  <si>
    <t xml:space="preserve">Verify whether the Logo is present or not </t>
  </si>
  <si>
    <t>fail</t>
  </si>
  <si>
    <t>Logo shows the existance of the app</t>
  </si>
  <si>
    <t>High</t>
  </si>
  <si>
    <t>https://drive.google.com/file/d/1MbQj7h6zDpJk3YYK2OjVBWPjc1WMDoBB/view?usp=drive_link</t>
  </si>
  <si>
    <t>skip</t>
  </si>
  <si>
    <t>Profile Section (Profile Summary)</t>
  </si>
  <si>
    <t>TC19</t>
  </si>
  <si>
    <t xml:space="preserve">Verify that All text are visible and correctly spelled or not </t>
  </si>
  <si>
    <t>https://drive.google.com/file/d/1ysFs22MhXNAE4IOGvbxnl2muUACW8RPA/view?usp=drive_link</t>
  </si>
  <si>
    <t>https://drive.google.com/file/d/1DIx9KIlcCM5e3ANt77FO2vWozxYJbnXR/view?usp=drive_link</t>
  </si>
  <si>
    <t>https://drive.google.com/file/d/1nN2BIa34HI3n1K2uKQq9OzL83liioyt3/view?usp=drive_link</t>
  </si>
  <si>
    <t>TC20</t>
  </si>
  <si>
    <t xml:space="preserve">Check whether we are able to edit  field or not </t>
  </si>
  <si>
    <t xml:space="preserve">1. Click on the Login Page                2. Click on the Login Button                             3. Click on edit icon </t>
  </si>
  <si>
    <t>TC21</t>
  </si>
  <si>
    <t>Verify that changes made to a field are successfully saved and reflected.</t>
  </si>
  <si>
    <t xml:space="preserve">1. Click on the Login Page                2. Click on the Login Button                             </t>
  </si>
  <si>
    <t>Phone NUmber is not saved and are not reflected in the field.</t>
  </si>
  <si>
    <t>https://drive.google.com/file/d/1P_-PuAPHl7pcKijAL-mR8NjceKcSUJxk/view?usp=drive_link</t>
  </si>
  <si>
    <t xml:space="preserve">Phone number, experinece is not reflecting the chnages &amp; every time you enter there they ask tp chose designation which may irritate the user </t>
  </si>
  <si>
    <t>Profile Section (Professional Detail)</t>
  </si>
  <si>
    <t>TC22</t>
  </si>
  <si>
    <t>1. Click on the Login Page                2. Click on the Login Button                             3. Click on edit icon on Professional Details</t>
  </si>
  <si>
    <t>TC23</t>
  </si>
  <si>
    <t xml:space="preserve">Profile Section (Education Details </t>
  </si>
  <si>
    <t>TC24</t>
  </si>
  <si>
    <t>1. Click on the Login Page                2. Click on the Login Button                             3. Click on edit icon on Education Details</t>
  </si>
  <si>
    <t>TC25</t>
  </si>
  <si>
    <t>Profile Section (Experience)</t>
  </si>
  <si>
    <t>TC26</t>
  </si>
  <si>
    <t xml:space="preserve">Verify whether we are able to add experience or not </t>
  </si>
  <si>
    <t xml:space="preserve">1. Click on the Login Page                2. Click on the Login Button                             3. Click on add icon on Experiience </t>
  </si>
  <si>
    <t>Profile Section (Skills &amp; safety)</t>
  </si>
  <si>
    <t>TC27</t>
  </si>
  <si>
    <t xml:space="preserve">1. Click on the Login Page                2. Click on the Login Button                             3. Click on edit icon on Skills &amp; safety </t>
  </si>
  <si>
    <t>https://drive.google.com/file/d/1Cow62UrY3SLoN8BKhHK4loEbVZQHxFx8/view?usp=drive_link</t>
  </si>
  <si>
    <t>Some Skill Set doesnt have data right now &amp; we can change the icon icon like rather editing icon we can put add(plus) icon</t>
  </si>
  <si>
    <t>Profile Section (Personal Details)</t>
  </si>
  <si>
    <t>TC28</t>
  </si>
  <si>
    <t xml:space="preserve">1. Click on the Login Page                2. Click on the Login Button                             3. Click on edit icon on Personal Details </t>
  </si>
  <si>
    <t>we can change the icon icon like rather editing icon we can put add(plus) icon</t>
  </si>
  <si>
    <t>Profile Section (Location &amp; Preferences)</t>
  </si>
  <si>
    <t>TC29</t>
  </si>
  <si>
    <t xml:space="preserve">1. Click on the Login Page                2. Click on the Login Button                             3. Click on edit icon on Location &amp; Preferences </t>
  </si>
  <si>
    <t>https://drive.google.com/file/d/1jrjUhXLHb-e-JR0dQ7wRf4mjfmf-AAKR/view?usp=drive_link</t>
  </si>
  <si>
    <t xml:space="preserve">we can change the icon icon like rather editing icon we can put add(plus) icon &amp; we need to remove dummy entry before deployment </t>
  </si>
  <si>
    <t>Profile Section (Language )</t>
  </si>
  <si>
    <t>TC30</t>
  </si>
  <si>
    <t xml:space="preserve">1. Click on the Login Page                2. Click on the Login Button                             3. Click on edit icon on Language </t>
  </si>
  <si>
    <t xml:space="preserve">we can change the icon icon like rather editing icon we can put add(plus) icon &amp; we can put other and put one placeholder for user who might know extra language </t>
  </si>
  <si>
    <t>Profile Section (Resume Upload)</t>
  </si>
  <si>
    <t>TC31</t>
  </si>
  <si>
    <t xml:space="preserve">Verify whether the Resume is uploading successfully or not </t>
  </si>
  <si>
    <t>1. Click on the Login Page                2. Click on the Login Button                             3. Click on upload button</t>
  </si>
  <si>
    <t>TC32</t>
  </si>
  <si>
    <t xml:space="preserve">Check that Profile Index is showing 100 or not after giving all details </t>
  </si>
  <si>
    <t>https://drive.google.com/file/d/1PAzbnRMb2KJPVAbi4RVIY-qBBpdEgwcL/view?usp=drive_link</t>
  </si>
  <si>
    <t>Job Section</t>
  </si>
  <si>
    <t>TC33</t>
  </si>
  <si>
    <t xml:space="preserve">Check the Search icon is actually searching jobs or not </t>
  </si>
  <si>
    <t xml:space="preserve">1. Click on the Login Page                2. Click on the Login Button                             3. Click on Jobs Tab                      4. Click on the search Icon </t>
  </si>
  <si>
    <t>TC34</t>
  </si>
  <si>
    <t xml:space="preserve">1. Click on the Login Page                2. Click on the Login Button                             3. Click on Jobs Tab                      4. Click on the Filter Menu </t>
  </si>
  <si>
    <t>TC35</t>
  </si>
  <si>
    <t xml:space="preserve">Check whether the Horizontal slider is working properly or not </t>
  </si>
  <si>
    <t xml:space="preserve">1. Click on the Login Page                2. Click on the Login Button                             3. Click on Jobs Tab                   </t>
  </si>
  <si>
    <t>Low</t>
  </si>
  <si>
    <t>https://drive.google.com/file/d/17EPnQqhjtsEuetlY6t5wTixUq40ihIFt/view?usp=drive_link</t>
  </si>
  <si>
    <t>TC36</t>
  </si>
  <si>
    <t>1. Click on the Login Page                2. Click on the Login Button                             3. Click on Jobs Tab                   4. Click on save mark</t>
  </si>
  <si>
    <t>TC37</t>
  </si>
  <si>
    <t xml:space="preserve">Verify that user is able to share that job or not </t>
  </si>
  <si>
    <t xml:space="preserve">1. Click on the Login Page                2. Click on the Login Button                             3. Click on Jobs Tab                   4. Click on share icon </t>
  </si>
  <si>
    <t xml:space="preserve">Medium </t>
  </si>
  <si>
    <r>
      <rPr>
        <u/>
        <sz val="10"/>
        <color rgb="FF1155CC"/>
        <rFont val="Arial"/>
      </rPr>
      <t>https://drive.google.com/file/d/17EPnQqhjtsEuetlY6t5wTixUq40ihIFt/view?usp=drive_link</t>
    </r>
    <r>
      <rPr>
        <sz val="10"/>
        <color rgb="FF1F1F1F"/>
        <rFont val="Arial"/>
      </rPr>
      <t xml:space="preserve">              35</t>
    </r>
  </si>
  <si>
    <t>Job Section (Job Details)</t>
  </si>
  <si>
    <t>TC38</t>
  </si>
  <si>
    <t xml:space="preserve">Verify whether all information are visible or not </t>
  </si>
  <si>
    <t xml:space="preserve">1. Click on the Login Page                2. Click on the Login Button                             3. Click on Jobs Tab                   4. Click on any job listed </t>
  </si>
  <si>
    <t>All job information is clearly visible and accurate after selecting a job listing.</t>
  </si>
  <si>
    <t>Right now it is in trial period show we need to remove all the fake and useless stuff before deployment</t>
  </si>
  <si>
    <t>Job Section (Company Profile)</t>
  </si>
  <si>
    <t>TC39</t>
  </si>
  <si>
    <t>1. Click on the Login Page                2. Click on the Login Button                             3. Click on Jobs Tab                   4. Click on any job listed                        5. Click on company detail</t>
  </si>
  <si>
    <t>TC40</t>
  </si>
  <si>
    <t xml:space="preserve">Verify whether the Apply Now button is applying to that job or not </t>
  </si>
  <si>
    <t>1. Click on the Login Page                2. Click on the Login Button                             3. Click on Jobs Tab                   4. Click on any job listed                        5. Click on Apply Now</t>
  </si>
  <si>
    <t>The application is successfully process the job application and display a confirmation message.</t>
  </si>
  <si>
    <t>https://drive.google.com/file/d/1eibuhqxNFsPRIlO9ddF_Q26Wim17sqkn/view?usp=drive_link</t>
  </si>
  <si>
    <t xml:space="preserve">It is not instantly refreshed  it should show that the job is already applied </t>
  </si>
  <si>
    <t>SDC</t>
  </si>
  <si>
    <t>TC41</t>
  </si>
  <si>
    <t xml:space="preserve">Verify whether the information Icon is showing all the information or not </t>
  </si>
  <si>
    <t xml:space="preserve">1. Click on the Login Page                2. Click on the Login Button                             3. Click on SDC tab                                       4. Click on Information icon </t>
  </si>
  <si>
    <t>The information icon is showing all the iinformation</t>
  </si>
  <si>
    <t>TC42</t>
  </si>
  <si>
    <t xml:space="preserve">Verify whether the search Icon is searching the details or not </t>
  </si>
  <si>
    <t>1. Click on the Login Page                2. Click on the Login Button                             3. Click on SDC tab                                       4. Click on Search Icon</t>
  </si>
  <si>
    <t>TC43</t>
  </si>
  <si>
    <t xml:space="preserve">Verify whether all the text and course is visbile or not </t>
  </si>
  <si>
    <t xml:space="preserve">1. Click on the Login Page                2. Click on the Login Button                             3. Click on SDC tab                                       </t>
  </si>
  <si>
    <t>Empty data after QC</t>
  </si>
  <si>
    <t>ExPO</t>
  </si>
  <si>
    <t>TC44</t>
  </si>
  <si>
    <t xml:space="preserve">Verify all the adds are properly visible or not </t>
  </si>
  <si>
    <t xml:space="preserve">1. Click on the Login Page                2. Click on the Login Button                             3. Click on ExPO tab                                       </t>
  </si>
  <si>
    <t>TC45</t>
  </si>
  <si>
    <t>1. Click on the Login Page                2. Click on the Login Button                             3. Click on ExPO tab                                       4. Click on the information icon</t>
  </si>
  <si>
    <t>https://drive.google.com/file/d/15r8oKsMFmu40AR7uRy_fLYUyiCC6M70d/view?usp=drive_link</t>
  </si>
  <si>
    <t>Settings (Account Settings)</t>
  </si>
  <si>
    <t>TC46</t>
  </si>
  <si>
    <t xml:space="preserve">1. Click on the Login Page                2. Click on the Login Button                             3. Click on Settings tab                                   4. Click on the edit Profile </t>
  </si>
  <si>
    <t xml:space="preserve">Name, Phone number, experinece is not reflecting the chnages &amp; every time you enter there they ask tp chose designation which may irritate the user </t>
  </si>
  <si>
    <r>
      <rPr>
        <u/>
        <sz val="10"/>
        <color rgb="FF1155CC"/>
        <rFont val="Arial"/>
      </rPr>
      <t>https://drive.google.com/file/d/1P_-PuAPHl7pcKijAL-mR8NjceKcSUJxk/view?usp=drive_link</t>
    </r>
    <r>
      <rPr>
        <sz val="10"/>
        <color rgb="FF1F1F1F"/>
        <rFont val="Arial"/>
      </rPr>
      <t xml:space="preserve">  21</t>
    </r>
  </si>
  <si>
    <t>TC47</t>
  </si>
  <si>
    <t xml:space="preserve">Verify Whether the Change Password is chnaging the Password or not </t>
  </si>
  <si>
    <t>1. Click on the Login Page                2. Click on the Login Button                             3. Click on Settings tab                                   4. Click on the Change Password</t>
  </si>
  <si>
    <t>TC48</t>
  </si>
  <si>
    <t xml:space="preserve">Check whether all the job is listed that been applied by user or not </t>
  </si>
  <si>
    <t>1. Click on the Login Page                2. Click on the Login Button                             3. Click on Settings tab                                   4. Click on the Job Applied</t>
  </si>
  <si>
    <t>Settings (Notifications)</t>
  </si>
  <si>
    <t>TC49</t>
  </si>
  <si>
    <t xml:space="preserve">Check whether the favourite job tab is showing the selected as favourite by user or not </t>
  </si>
  <si>
    <t>TC50</t>
  </si>
  <si>
    <t>TC51</t>
  </si>
  <si>
    <t xml:space="preserve">Verify whether the Payment History showing all the payment happened or not </t>
  </si>
  <si>
    <t>Settings (Support &amp; Legal)</t>
  </si>
  <si>
    <t>TC52</t>
  </si>
  <si>
    <t xml:space="preserve">Verify whether all the text  is visbile or not at about us </t>
  </si>
  <si>
    <t>All text in the About Us should be clearly visible and accurately displayed.</t>
  </si>
  <si>
    <t>All text in the About Us section is clearly visible.</t>
  </si>
  <si>
    <t>https://drive.google.com/file/d/1XtdCUz34XxF9i_jbZAXc6dDo7rRNpAS2/view?usp=drive_link</t>
  </si>
  <si>
    <t xml:space="preserve">We can show this in Point wise </t>
  </si>
  <si>
    <t>TC53</t>
  </si>
  <si>
    <t>Verify whether all the text  is visbile or not at Terms &amp; Conditions '</t>
  </si>
  <si>
    <t>1.  Click on the Login Page
2.  Click on the Login Button
3.  Click on Settings tab
4.  Click on the Terms &amp; Conditions tab</t>
  </si>
  <si>
    <t>Empty</t>
  </si>
  <si>
    <t>TC54</t>
  </si>
  <si>
    <t>Verify whether all the text  is visbile or not at Privacy Poilicy</t>
  </si>
  <si>
    <t>1.  Click on the Login Page
2.  Click on the Login Button
3.  Click on Settings tab
4.  Click on the Privacy Policy</t>
  </si>
  <si>
    <t>TC55</t>
  </si>
  <si>
    <t xml:space="preserve">Check whether the Name is taking numeric value or not </t>
  </si>
  <si>
    <t>1.  Click on the Login Page
2.  Click on the Login Button
3.  Click on Settings tab
4.  Click on the Grievance Center</t>
  </si>
  <si>
    <t xml:space="preserve">Name and Location and area is linked so we need to unlinked them </t>
  </si>
  <si>
    <t>TC56</t>
  </si>
  <si>
    <t xml:space="preserve">Verify whether Send OTP is functioning or not </t>
  </si>
  <si>
    <t>TC57</t>
  </si>
  <si>
    <t>Verify whether all the text  is visbile or not at Refund Poilicy</t>
  </si>
  <si>
    <t>1.  Click on the Login Page
2.  Click on the Login Button
3.  Click on Settings tab
4.  Click on the Refund Policy</t>
  </si>
  <si>
    <t>All text in the Refund Policy section should be clearly visible and accurately displayed.</t>
  </si>
  <si>
    <t>TC58</t>
  </si>
  <si>
    <t xml:space="preserve">Verify whether the Sales Team having all information or not  </t>
  </si>
  <si>
    <t xml:space="preserve">TC59 </t>
  </si>
  <si>
    <t xml:space="preserve">Check whether the theme is changeable or not </t>
  </si>
  <si>
    <t>1.  Click on the Login Page
2.  Click on the Login Button
3.  Click on Settings tab
4.  Try to toggle or select a different theme (e.g., Light/Dark mode)</t>
  </si>
  <si>
    <t xml:space="preserve">Header </t>
  </si>
  <si>
    <t>TC60</t>
  </si>
  <si>
    <t xml:space="preserve">Check whether the Notifications icon getting notifications or not </t>
  </si>
  <si>
    <t xml:space="preserve">Click on Notifications Icon </t>
  </si>
  <si>
    <t xml:space="preserve">Notifications should get all the notifications </t>
  </si>
  <si>
    <t xml:space="preserve">its look like static page </t>
  </si>
  <si>
    <t xml:space="preserve">Fail </t>
  </si>
  <si>
    <t>https://drive.google.com/file/d/1YyMaBKYMmAs5459URUbSM1HvRt0PEo_a/view?usp=drive_link</t>
  </si>
  <si>
    <t>Log Out</t>
  </si>
  <si>
    <t>TC61</t>
  </si>
  <si>
    <t xml:space="preserve">Click on Logout </t>
  </si>
  <si>
    <t>we should them "are you sure"</t>
  </si>
  <si>
    <t>Recruiter</t>
  </si>
  <si>
    <t>TC62</t>
  </si>
  <si>
    <t>TC63</t>
  </si>
  <si>
    <t>TC64</t>
  </si>
  <si>
    <t xml:space="preserve">Verify whether the Company Name is taking value or not </t>
  </si>
  <si>
    <t>M2M</t>
  </si>
  <si>
    <t>TC65</t>
  </si>
  <si>
    <t>gdhdskj@gmail.co</t>
  </si>
  <si>
    <t>https://drive.google.com/file/d/194mxTRrCuvI6s2Xdos_QLHa7WeK7ELzc/view?usp=drive_link</t>
  </si>
  <si>
    <t>TC66</t>
  </si>
  <si>
    <t>TC67</t>
  </si>
  <si>
    <t>TC68</t>
  </si>
  <si>
    <t xml:space="preserve">Check the dropdown (Manufacturing Company &amp; Recruitment Agency ) is getting selected or not </t>
  </si>
  <si>
    <t>Unable regestrain when we select Recruitment Agency in dropdown</t>
  </si>
  <si>
    <t>https://drive.google.com/file/d/134EL2Fz9rD6NBYtBGM2V-lv72wuDV183/view?usp=drive_link</t>
  </si>
  <si>
    <t>TC69</t>
  </si>
  <si>
    <t xml:space="preserve">Check whether the Location Taking Alphabetical Character or not </t>
  </si>
  <si>
    <t>https://drive.google.com/file/d/1umYr-Oecs-EG3f0a1VnR4Ln5eyQfYUrP/view?usp=drive_link</t>
  </si>
  <si>
    <t>TC70</t>
  </si>
  <si>
    <t xml:space="preserve">Profile </t>
  </si>
  <si>
    <t>TC71</t>
  </si>
  <si>
    <t xml:space="preserve">profile information is editable but not showing any details after save profile </t>
  </si>
  <si>
    <t>https://drive.google.com/file/d/11R-iGiLd4dVA6DArRPgV8DpR64texqpl/view?usp=drive_link</t>
  </si>
  <si>
    <t xml:space="preserve">if there is any error show error msg should show on that particular page only not at the outside of the page </t>
  </si>
  <si>
    <t>TC72</t>
  </si>
  <si>
    <t xml:space="preserve">Check whether every field is validated or not </t>
  </si>
  <si>
    <t xml:space="preserve">Person name take number value , Email is not validate </t>
  </si>
  <si>
    <t>Medium</t>
  </si>
  <si>
    <t>https://drive.google.com/file/d/1crNcBkmWVsaMg4KPphGRJywpkjv7Oy4K/view?usp=drive_link</t>
  </si>
  <si>
    <t xml:space="preserve">Arunchal Pradesh , Tripura ,sikkim, Nagaland,Mizoram,Meghalay,Manipur not having cities name </t>
  </si>
  <si>
    <t>Jobs</t>
  </si>
  <si>
    <t>TC73</t>
  </si>
  <si>
    <t>Verify whether Post Job button is navigating to the form or not</t>
  </si>
  <si>
    <t>1.  Click on the Login Page
2.  Click on the Login Button
3.  Click on the Job icon
4.  Click on the Post Job button</t>
  </si>
  <si>
    <t>TC74</t>
  </si>
  <si>
    <t>nahakpriyank5@gmail.co</t>
  </si>
  <si>
    <t xml:space="preserve">Email Id is not Validate </t>
  </si>
  <si>
    <t>https://drive.google.com/file/d/1AkntWNSoY9Uua091mjh55L-WdxHroCyr/view?usp=drive_link</t>
  </si>
  <si>
    <t xml:space="preserve">We can add Special character (-) IN CTC field </t>
  </si>
  <si>
    <t>TC75</t>
  </si>
  <si>
    <t xml:space="preserve">Check whether Job post is successfully posting job or not </t>
  </si>
  <si>
    <t>Job is not posted yet in Standard Posting after the paymemt</t>
  </si>
  <si>
    <t>Payment s right now in trail basis</t>
  </si>
  <si>
    <t>TC76</t>
  </si>
  <si>
    <t xml:space="preserve">Check AI Powered Hiring is showing the best match to client or not </t>
  </si>
  <si>
    <t>1.  Click on the Login Page
2.  Click on the Login Button
3.  Click on the Job icon
4.  Click on the Search  button</t>
  </si>
  <si>
    <t xml:space="preserve">Payment section is absent and also something that hire directly the matched candidate </t>
  </si>
  <si>
    <t>TC77</t>
  </si>
  <si>
    <t xml:space="preserve">Check whether the Explore ExPO features is clickable or not </t>
  </si>
  <si>
    <t>1.  Click on the Login Page
2.  Click on the Login Button
3.  Click on the Job icon
4.  Click on the Explore ExPO Features button</t>
  </si>
  <si>
    <t xml:space="preserve">Meduim </t>
  </si>
  <si>
    <t>https://drive.google.com/file/d/1QHuQ7OkrcVwHvlhiLVDFj9z3-MS_2Fqd/view?usp=drive_link</t>
  </si>
  <si>
    <t>Rojgar ExPO</t>
  </si>
  <si>
    <t>TC78</t>
  </si>
  <si>
    <t xml:space="preserve">Check whether the View all button is showing all the adds or not </t>
  </si>
  <si>
    <t>1.  Click on the Login Page
2.  Click on the Login Button
3.  Click on the ExPO icon
4.  Click on the View all button</t>
  </si>
  <si>
    <t>TC79</t>
  </si>
  <si>
    <t xml:space="preserve">Check whether all the adds are visible or not </t>
  </si>
  <si>
    <t xml:space="preserve">1.  Click on the Login Page
2.  Click on the Login Button
3.  Click on the ExPO icon
</t>
  </si>
  <si>
    <t>https://drive.google.com/file/d/1MpQHEJtSWgyLVx8FLCPUtDtyR4nHqX2t/view?usp=drive_link</t>
  </si>
  <si>
    <t>TC80</t>
  </si>
  <si>
    <t xml:space="preserve">Verify whether Email and phone number is validate or not </t>
  </si>
  <si>
    <t>1.  Click on the Login Page
2.  Click on the Login Button
3.  Click on the ExPO icon
4.  Click on the Post add button</t>
  </si>
  <si>
    <t>Email Id is not Validate and number also taking greater than 10 digit</t>
  </si>
  <si>
    <t xml:space="preserve">High </t>
  </si>
  <si>
    <t>https://drive.google.com/file/d/1jR3zsen6iZPD9ZeMS6WxarBEmig56ZV4/view?usp=drive_link</t>
  </si>
  <si>
    <t>Setting (Manage Company Details)</t>
  </si>
  <si>
    <t>TC81</t>
  </si>
  <si>
    <t>1.  Click on the Login Page
2.  Click on the Login Button
3.  Click on the Setting  icon
4.  Click on the Manage Company Profile button</t>
  </si>
  <si>
    <t>TC82</t>
  </si>
  <si>
    <t>Setting (Rojgar ExPO History)</t>
  </si>
  <si>
    <t>TC83</t>
  </si>
  <si>
    <t xml:space="preserve">Check whether All the posted posted is visible here or not </t>
  </si>
  <si>
    <t>1.  Click on the Login Page
2.  Click on the Login Button
3.  Click on the Setting  icon
4.  Click on the Rojgar ExPO History button</t>
  </si>
  <si>
    <t>https://drive.google.com/file/d/1gIhRyaga-2BAvxzTLeTZ4GJiJz0MOKF0/view?usp=drive_link</t>
  </si>
  <si>
    <t xml:space="preserve">here it is showing as draft it should show as posted </t>
  </si>
  <si>
    <t>Setting (Change Password)</t>
  </si>
  <si>
    <t>TC84</t>
  </si>
  <si>
    <t xml:space="preserve">Verify whether we are able to reset our password or not </t>
  </si>
  <si>
    <t>1.  Click on the Login Page
2.  Click on the Login Button
3.  Click on the Setting  icon
4.  Click on the Change Password button</t>
  </si>
  <si>
    <t>Setting (Payment History)</t>
  </si>
  <si>
    <t>TC85</t>
  </si>
  <si>
    <t xml:space="preserve">Verify that all the Payment history is visible or not </t>
  </si>
  <si>
    <t>1.  Click on the Login Page
2.  Click on the Login Button
3.  Click on the Setting  icon
4.  Click on the Payment History button</t>
  </si>
  <si>
    <t>https://drive.google.com/file/d/1HDsStXUY9MnYtuVsT2p6HetaSS19XXJk/view?usp=drive_link</t>
  </si>
  <si>
    <t>here it is showing as draft it should show as completed</t>
  </si>
  <si>
    <t>TC86</t>
  </si>
  <si>
    <r>
      <rPr>
        <u/>
        <sz val="10"/>
        <color rgb="FF1155CC"/>
        <rFont val="Arial"/>
      </rPr>
      <t>https://drive.google.com/file/d/1XtdCUz34XxF9i_jbZAXc6dDo7rRNpAS2/view?usp=drive_link</t>
    </r>
    <r>
      <rPr>
        <sz val="10"/>
        <color rgb="FF1F1F1F"/>
        <rFont val="Arial"/>
      </rPr>
      <t xml:space="preserve">      52</t>
    </r>
  </si>
  <si>
    <t>TC87</t>
  </si>
  <si>
    <t>TC88</t>
  </si>
  <si>
    <t>TC89</t>
  </si>
  <si>
    <t>TC90</t>
  </si>
  <si>
    <t>TC91</t>
  </si>
  <si>
    <t>TC92</t>
  </si>
  <si>
    <t>TC93</t>
  </si>
  <si>
    <t>TC94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</si>
</sst>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scheme val="minor"/>
    </font>
    <font>
      <sz val="15"/>
      <color theme="1"/>
      <name val="Arial"/>
    </font>
    <font>
      <sz val="14"/>
      <color theme="1"/>
      <name val="Arial"/>
      <scheme val="minor"/>
    </font>
    <font>
      <sz val="10"/>
      <color theme="1"/>
      <name val="Arial"/>
    </font>
    <font>
      <sz val="10"/>
      <name val="Arial"/>
    </font>
    <font>
      <u/>
      <sz val="10"/>
      <color rgb="FF0000FF"/>
      <name val="Arial"/>
    </font>
    <font>
      <u/>
      <sz val="10"/>
      <color rgb="FF0000FF"/>
      <name val="Arial"/>
    </font>
    <font>
      <u/>
      <sz val="10"/>
      <color rgb="FF0000FF"/>
      <name val="Arial"/>
    </font>
    <font>
      <sz val="10"/>
      <color rgb="FF1F1F1F"/>
      <name val="Arial"/>
      <scheme val="minor"/>
    </font>
    <font>
      <u/>
      <sz val="10"/>
      <color rgb="FF0000FF"/>
      <name val="Arial"/>
    </font>
    <font>
      <u/>
      <sz val="10"/>
      <color rgb="FF1155CC"/>
      <name val="Arial"/>
    </font>
    <font>
      <sz val="10"/>
      <color rgb="FF1F1F1F"/>
      <name val="Arial"/>
    </font>
  </fonts>
  <fills count="7">
    <fill>
      <patternFill patternType="none"/>
    </fill>
    <fill>
      <patternFill patternType="gray125"/>
    </fill>
    <fill>
      <patternFill patternType="solid">
        <fgColor rgb="FF98B8ED"/>
        <bgColor rgb="FF98B8ED"/>
      </patternFill>
    </fill>
    <fill>
      <patternFill patternType="solid">
        <fgColor rgb="FFFFF2CC"/>
        <bgColor rgb="FFFFF2CC"/>
      </patternFill>
    </fill>
    <fill>
      <patternFill patternType="solid">
        <fgColor rgb="FFFF9900"/>
        <bgColor rgb="FFFF9900"/>
      </patternFill>
    </fill>
    <fill>
      <patternFill patternType="solid">
        <fgColor rgb="FF00FFFF"/>
        <bgColor rgb="FF00FFFF"/>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5">
    <xf numFmtId="0" fontId="0" fillId="0" borderId="0" xfId="0"/>
    <xf numFmtId="0" fontId="1"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xf numFmtId="0" fontId="4" fillId="0" borderId="1" xfId="0" applyFont="1" applyBorder="1" applyAlignment="1">
      <alignment horizontal="center" wrapText="1"/>
    </xf>
    <xf numFmtId="0" fontId="4" fillId="0" borderId="1" xfId="0" applyFont="1" applyBorder="1" applyAlignment="1">
      <alignment horizontal="center" vertical="center" wrapText="1"/>
    </xf>
    <xf numFmtId="0" fontId="4" fillId="0" borderId="1" xfId="0" applyFont="1" applyBorder="1"/>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xf numFmtId="0" fontId="7" fillId="0" borderId="1" xfId="0" applyFont="1" applyBorder="1" applyAlignment="1">
      <alignment horizontal="center" vertical="center" wrapText="1"/>
    </xf>
    <xf numFmtId="0" fontId="8" fillId="0" borderId="1" xfId="0" applyFont="1" applyBorder="1" applyAlignment="1">
      <alignment wrapText="1"/>
    </xf>
    <xf numFmtId="0" fontId="9"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0" borderId="1" xfId="0" applyFont="1" applyBorder="1" applyAlignment="1">
      <alignment vertical="center" wrapText="1"/>
    </xf>
    <xf numFmtId="0" fontId="1" fillId="0" borderId="2" xfId="0" applyFont="1" applyBorder="1" applyAlignment="1">
      <alignment horizontal="center" vertical="center" wrapText="1"/>
    </xf>
    <xf numFmtId="0" fontId="5" fillId="0" borderId="3" xfId="0" applyFont="1" applyBorder="1"/>
    <xf numFmtId="0" fontId="5" fillId="0" borderId="4" xfId="0" applyFont="1" applyBorder="1"/>
    <xf numFmtId="0" fontId="2" fillId="2" borderId="0" xfId="0" applyFont="1" applyFill="1" applyAlignment="1">
      <alignment horizontal="center" vertical="center" wrapText="1"/>
    </xf>
    <xf numFmtId="0" fontId="0" fillId="0" borderId="0" xfId="0"/>
    <xf numFmtId="0" fontId="3" fillId="0" borderId="0" xfId="0" applyFont="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Cow62UrY3SLoN8BKhHK4loEbVZQHxFx8/view?usp=drive_link" TargetMode="External"/><Relationship Id="rId13" Type="http://schemas.openxmlformats.org/officeDocument/2006/relationships/hyperlink" Target="https://drive.google.com/file/d/1eibuhqxNFsPRIlO9ddF_Q26Wim17sqkn/view?usp=drive_link" TargetMode="External"/><Relationship Id="rId18" Type="http://schemas.openxmlformats.org/officeDocument/2006/relationships/hyperlink" Target="https://drive.google.com/file/d/194mxTRrCuvI6s2Xdos_QLHa7WeK7ELzc/view?usp=drive_link" TargetMode="External"/><Relationship Id="rId26" Type="http://schemas.openxmlformats.org/officeDocument/2006/relationships/hyperlink" Target="https://drive.google.com/file/d/1jR3zsen6iZPD9ZeMS6WxarBEmig56ZV4/view?usp=drive_link" TargetMode="External"/><Relationship Id="rId3" Type="http://schemas.openxmlformats.org/officeDocument/2006/relationships/hyperlink" Target="https://drive.google.com/file/d/1MbQj7h6zDpJk3YYK2OjVBWPjc1WMDoBB/view?usp=drive_link" TargetMode="External"/><Relationship Id="rId21" Type="http://schemas.openxmlformats.org/officeDocument/2006/relationships/hyperlink" Target="https://drive.google.com/file/d/11R-iGiLd4dVA6DArRPgV8DpR64texqpl/view?usp=drive_link" TargetMode="External"/><Relationship Id="rId7" Type="http://schemas.openxmlformats.org/officeDocument/2006/relationships/hyperlink" Target="https://drive.google.com/file/d/1P_-PuAPHl7pcKijAL-mR8NjceKcSUJxk/view?usp=drive_link" TargetMode="External"/><Relationship Id="rId12" Type="http://schemas.openxmlformats.org/officeDocument/2006/relationships/hyperlink" Target="https://drive.google.com/file/d/17EPnQqhjtsEuetlY6t5wTixUq40ihIFt/view?usp=drive_link" TargetMode="External"/><Relationship Id="rId17" Type="http://schemas.openxmlformats.org/officeDocument/2006/relationships/hyperlink" Target="https://drive.google.com/file/d/1YyMaBKYMmAs5459URUbSM1HvRt0PEo_a/view?usp=drive_link" TargetMode="External"/><Relationship Id="rId25" Type="http://schemas.openxmlformats.org/officeDocument/2006/relationships/hyperlink" Target="https://drive.google.com/file/d/1MpQHEJtSWgyLVx8FLCPUtDtyR4nHqX2t/view?usp=drive_link" TargetMode="External"/><Relationship Id="rId2" Type="http://schemas.openxmlformats.org/officeDocument/2006/relationships/hyperlink" Target="https://drive.google.com/file/d/1CKtCgBKAaxTasDijAUcrGkH6a3rp3r4e/view?usp=drive_link" TargetMode="External"/><Relationship Id="rId16" Type="http://schemas.openxmlformats.org/officeDocument/2006/relationships/hyperlink" Target="https://drive.google.com/file/d/1XtdCUz34XxF9i_jbZAXc6dDo7rRNpAS2/view?usp=drive_link" TargetMode="External"/><Relationship Id="rId20" Type="http://schemas.openxmlformats.org/officeDocument/2006/relationships/hyperlink" Target="https://drive.google.com/file/d/1umYr-Oecs-EG3f0a1VnR4Ln5eyQfYUrP/view?usp=drive_link" TargetMode="External"/><Relationship Id="rId29" Type="http://schemas.openxmlformats.org/officeDocument/2006/relationships/hyperlink" Target="https://drive.google.com/file/d/1gIhRyaga-2BAvxzTLeTZ4GJiJz0MOKF0/view?usp=drive_link" TargetMode="External"/><Relationship Id="rId1" Type="http://schemas.openxmlformats.org/officeDocument/2006/relationships/hyperlink" Target="https://drive.google.com/file/d/1SKdZog0TT2XgT9dIS3aqvyF0jj4WZadf/view?usp=drive_link" TargetMode="External"/><Relationship Id="rId6" Type="http://schemas.openxmlformats.org/officeDocument/2006/relationships/hyperlink" Target="https://drive.google.com/file/d/1nN2BIa34HI3n1K2uKQq9OzL83liioyt3/view?usp=drive_link" TargetMode="External"/><Relationship Id="rId11" Type="http://schemas.openxmlformats.org/officeDocument/2006/relationships/hyperlink" Target="https://drive.google.com/file/d/17EPnQqhjtsEuetlY6t5wTixUq40ihIFt/view?usp=drive_link" TargetMode="External"/><Relationship Id="rId24" Type="http://schemas.openxmlformats.org/officeDocument/2006/relationships/hyperlink" Target="https://drive.google.com/file/d/1QHuQ7OkrcVwHvlhiLVDFj9z3-MS_2Fqd/view?usp=drive_link" TargetMode="External"/><Relationship Id="rId5" Type="http://schemas.openxmlformats.org/officeDocument/2006/relationships/hyperlink" Target="https://drive.google.com/file/d/1DIx9KIlcCM5e3ANt77FO2vWozxYJbnXR/view?usp=drive_link" TargetMode="External"/><Relationship Id="rId15" Type="http://schemas.openxmlformats.org/officeDocument/2006/relationships/hyperlink" Target="https://drive.google.com/file/d/1P_-PuAPHl7pcKijAL-mR8NjceKcSUJxk/view?usp=drive_link" TargetMode="External"/><Relationship Id="rId23" Type="http://schemas.openxmlformats.org/officeDocument/2006/relationships/hyperlink" Target="https://drive.google.com/file/d/1AkntWNSoY9Uua091mjh55L-WdxHroCyr/view?usp=drive_link" TargetMode="External"/><Relationship Id="rId28" Type="http://schemas.openxmlformats.org/officeDocument/2006/relationships/hyperlink" Target="https://drive.google.com/file/d/1crNcBkmWVsaMg4KPphGRJywpkjv7Oy4K/view?usp=drive_link" TargetMode="External"/><Relationship Id="rId10" Type="http://schemas.openxmlformats.org/officeDocument/2006/relationships/hyperlink" Target="https://drive.google.com/file/d/1PAzbnRMb2KJPVAbi4RVIY-qBBpdEgwcL/view?usp=drive_link" TargetMode="External"/><Relationship Id="rId19" Type="http://schemas.openxmlformats.org/officeDocument/2006/relationships/hyperlink" Target="https://drive.google.com/file/d/134EL2Fz9rD6NBYtBGM2V-lv72wuDV183/view?usp=drive_link" TargetMode="External"/><Relationship Id="rId31" Type="http://schemas.openxmlformats.org/officeDocument/2006/relationships/hyperlink" Target="https://drive.google.com/file/d/1XtdCUz34XxF9i_jbZAXc6dDo7rRNpAS2/view?usp=drive_link" TargetMode="External"/><Relationship Id="rId4" Type="http://schemas.openxmlformats.org/officeDocument/2006/relationships/hyperlink" Target="https://drive.google.com/file/d/1ysFs22MhXNAE4IOGvbxnl2muUACW8RPA/view?usp=drive_link" TargetMode="External"/><Relationship Id="rId9" Type="http://schemas.openxmlformats.org/officeDocument/2006/relationships/hyperlink" Target="https://drive.google.com/file/d/1jrjUhXLHb-e-JR0dQ7wRf4mjfmf-AAKR/view?usp=drive_link" TargetMode="External"/><Relationship Id="rId14" Type="http://schemas.openxmlformats.org/officeDocument/2006/relationships/hyperlink" Target="https://drive.google.com/file/d/15r8oKsMFmu40AR7uRy_fLYUyiCC6M70d/view?usp=drive_link" TargetMode="External"/><Relationship Id="rId22" Type="http://schemas.openxmlformats.org/officeDocument/2006/relationships/hyperlink" Target="https://drive.google.com/file/d/1crNcBkmWVsaMg4KPphGRJywpkjv7Oy4K/view?usp=drive_link" TargetMode="External"/><Relationship Id="rId27" Type="http://schemas.openxmlformats.org/officeDocument/2006/relationships/hyperlink" Target="https://drive.google.com/file/d/11R-iGiLd4dVA6DArRPgV8DpR64texqpl/view?usp=drive_link" TargetMode="External"/><Relationship Id="rId30" Type="http://schemas.openxmlformats.org/officeDocument/2006/relationships/hyperlink" Target="https://drive.google.com/file/d/1HDsStXUY9MnYtuVsT2p6HetaSS19XXJk/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98"/>
  <sheetViews>
    <sheetView tabSelected="1" workbookViewId="0">
      <selection activeCell="F11" sqref="F11"/>
    </sheetView>
  </sheetViews>
  <sheetFormatPr defaultColWidth="12.6640625" defaultRowHeight="15.75" customHeight="1" x14ac:dyDescent="0.25"/>
  <cols>
    <col min="4" max="4" width="12.6640625" style="24"/>
    <col min="5" max="5" width="13.109375" customWidth="1"/>
    <col min="6" max="6" width="14.33203125" customWidth="1"/>
  </cols>
  <sheetData>
    <row r="1" spans="1:14" ht="13.2" x14ac:dyDescent="0.25">
      <c r="A1" s="1"/>
      <c r="B1" s="1"/>
      <c r="C1" s="1"/>
      <c r="D1" s="1"/>
      <c r="E1" s="1"/>
      <c r="F1" s="1"/>
      <c r="G1" s="1"/>
      <c r="H1" s="1"/>
      <c r="I1" s="1"/>
      <c r="J1" s="1"/>
      <c r="K1" s="1"/>
      <c r="L1" s="1"/>
      <c r="M1" s="1"/>
    </row>
    <row r="2" spans="1:14" ht="13.2" x14ac:dyDescent="0.25">
      <c r="A2" s="1"/>
      <c r="B2" s="1"/>
      <c r="C2" s="1"/>
      <c r="D2" s="1"/>
      <c r="E2" s="1"/>
      <c r="F2" s="1"/>
      <c r="G2" s="1"/>
      <c r="H2" s="1"/>
      <c r="I2" s="1"/>
      <c r="J2" s="1"/>
      <c r="K2" s="1"/>
      <c r="L2" s="1"/>
      <c r="M2" s="1"/>
    </row>
    <row r="3" spans="1:14" x14ac:dyDescent="0.25">
      <c r="A3" s="1"/>
      <c r="B3" s="1"/>
      <c r="C3" s="1"/>
      <c r="D3" s="20" t="s">
        <v>0</v>
      </c>
      <c r="E3" s="21"/>
      <c r="F3" s="21"/>
      <c r="G3" s="21"/>
      <c r="H3" s="1"/>
      <c r="I3" s="1"/>
      <c r="J3" s="1"/>
      <c r="K3" s="1"/>
      <c r="L3" s="1"/>
      <c r="M3" s="1"/>
    </row>
    <row r="4" spans="1:14" ht="13.2" x14ac:dyDescent="0.25">
      <c r="A4" s="1"/>
      <c r="B4" s="1"/>
      <c r="C4" s="1"/>
      <c r="D4" s="1"/>
      <c r="E4" s="1"/>
      <c r="F4" s="1"/>
      <c r="G4" s="1"/>
      <c r="H4" s="1"/>
      <c r="I4" s="1"/>
      <c r="J4" s="1"/>
      <c r="K4" s="1"/>
      <c r="L4" s="1"/>
      <c r="M4" s="1"/>
    </row>
    <row r="5" spans="1:14" ht="13.2" x14ac:dyDescent="0.25">
      <c r="A5" s="22" t="s">
        <v>1</v>
      </c>
      <c r="B5" s="21"/>
      <c r="C5" s="1"/>
      <c r="D5" s="1"/>
      <c r="E5" s="1"/>
      <c r="F5" s="1"/>
      <c r="G5" s="1"/>
      <c r="H5" s="1"/>
      <c r="I5" s="1"/>
      <c r="J5" s="1"/>
      <c r="K5" s="1"/>
      <c r="L5" s="1"/>
      <c r="M5" s="1"/>
    </row>
    <row r="6" spans="1:14" ht="13.2" x14ac:dyDescent="0.25">
      <c r="A6" s="1"/>
      <c r="B6" s="1"/>
      <c r="C6" s="1"/>
      <c r="D6" s="1"/>
      <c r="E6" s="1"/>
      <c r="F6" s="1"/>
      <c r="G6" s="1"/>
      <c r="H6" s="1"/>
      <c r="I6" s="1"/>
      <c r="J6" s="1"/>
      <c r="K6" s="1"/>
      <c r="L6" s="1"/>
      <c r="M6" s="1"/>
    </row>
    <row r="7" spans="1:14" ht="13.2" x14ac:dyDescent="0.25">
      <c r="A7" s="1"/>
      <c r="B7" s="1"/>
      <c r="C7" s="1"/>
      <c r="D7" s="1"/>
      <c r="E7" s="1"/>
      <c r="F7" s="1"/>
      <c r="G7" s="1"/>
      <c r="H7" s="1"/>
      <c r="I7" s="1"/>
      <c r="J7" s="1"/>
      <c r="K7" s="1"/>
      <c r="L7" s="1"/>
      <c r="M7" s="1"/>
    </row>
    <row r="8" spans="1:14" ht="26.4" x14ac:dyDescent="0.25">
      <c r="A8" s="2" t="s">
        <v>2</v>
      </c>
      <c r="B8" s="2" t="s">
        <v>3</v>
      </c>
      <c r="C8" s="2" t="s">
        <v>4</v>
      </c>
      <c r="D8" s="2" t="s">
        <v>5</v>
      </c>
      <c r="E8" s="2" t="s">
        <v>6</v>
      </c>
      <c r="F8" s="2" t="s">
        <v>7</v>
      </c>
      <c r="G8" s="2" t="s">
        <v>8</v>
      </c>
      <c r="H8" s="2" t="s">
        <v>9</v>
      </c>
      <c r="I8" s="2" t="s">
        <v>10</v>
      </c>
      <c r="J8" s="2" t="s">
        <v>11</v>
      </c>
      <c r="K8" s="2" t="s">
        <v>12</v>
      </c>
      <c r="L8" s="2" t="s">
        <v>13</v>
      </c>
      <c r="M8" s="2" t="s">
        <v>14</v>
      </c>
      <c r="N8" s="3"/>
    </row>
    <row r="9" spans="1:14" ht="52.8" x14ac:dyDescent="0.25">
      <c r="A9" s="23" t="s">
        <v>15</v>
      </c>
      <c r="B9" s="4" t="s">
        <v>16</v>
      </c>
      <c r="C9" s="4" t="s">
        <v>17</v>
      </c>
      <c r="D9" s="4" t="s">
        <v>18</v>
      </c>
      <c r="E9" s="5" t="s">
        <v>19</v>
      </c>
      <c r="F9" s="4" t="s">
        <v>20</v>
      </c>
      <c r="G9" s="4" t="s">
        <v>21</v>
      </c>
      <c r="H9" s="4" t="s">
        <v>22</v>
      </c>
      <c r="I9" s="5" t="s">
        <v>23</v>
      </c>
      <c r="J9" s="6"/>
      <c r="K9" s="6"/>
      <c r="L9" s="6"/>
      <c r="M9" s="6"/>
      <c r="N9" s="3"/>
    </row>
    <row r="10" spans="1:14" ht="92.4" x14ac:dyDescent="0.25">
      <c r="A10" s="18"/>
      <c r="B10" s="23" t="s">
        <v>24</v>
      </c>
      <c r="C10" s="4" t="s">
        <v>25</v>
      </c>
      <c r="D10" s="4" t="s">
        <v>26</v>
      </c>
      <c r="E10" s="5" t="s">
        <v>27</v>
      </c>
      <c r="F10" s="4" t="s">
        <v>20</v>
      </c>
      <c r="G10" s="4" t="s">
        <v>28</v>
      </c>
      <c r="H10" s="4" t="s">
        <v>29</v>
      </c>
      <c r="I10" s="5" t="s">
        <v>23</v>
      </c>
      <c r="J10" s="6"/>
      <c r="K10" s="6"/>
      <c r="L10" s="6"/>
      <c r="M10" s="6"/>
      <c r="N10" s="3"/>
    </row>
    <row r="11" spans="1:14" ht="92.4" x14ac:dyDescent="0.25">
      <c r="A11" s="18"/>
      <c r="B11" s="18"/>
      <c r="C11" s="4" t="s">
        <v>30</v>
      </c>
      <c r="D11" s="4" t="s">
        <v>31</v>
      </c>
      <c r="E11" s="5" t="s">
        <v>32</v>
      </c>
      <c r="F11" s="4" t="s">
        <v>20</v>
      </c>
      <c r="G11" s="4" t="s">
        <v>33</v>
      </c>
      <c r="H11" s="4" t="s">
        <v>34</v>
      </c>
      <c r="I11" s="5" t="s">
        <v>23</v>
      </c>
      <c r="J11" s="6"/>
      <c r="K11" s="6"/>
      <c r="L11" s="6"/>
      <c r="M11" s="6"/>
      <c r="N11" s="3"/>
    </row>
    <row r="12" spans="1:14" ht="118.8" x14ac:dyDescent="0.25">
      <c r="A12" s="19"/>
      <c r="B12" s="19"/>
      <c r="C12" s="4" t="s">
        <v>35</v>
      </c>
      <c r="D12" s="4" t="s">
        <v>36</v>
      </c>
      <c r="E12" s="5" t="s">
        <v>37</v>
      </c>
      <c r="F12" s="4" t="s">
        <v>20</v>
      </c>
      <c r="G12" s="4" t="s">
        <v>38</v>
      </c>
      <c r="H12" s="4" t="s">
        <v>39</v>
      </c>
      <c r="I12" s="5" t="s">
        <v>23</v>
      </c>
      <c r="J12" s="6"/>
      <c r="K12" s="6"/>
      <c r="L12" s="6"/>
      <c r="M12" s="6"/>
      <c r="N12" s="3"/>
    </row>
    <row r="13" spans="1:14" ht="52.8" x14ac:dyDescent="0.25">
      <c r="A13" s="4" t="s">
        <v>40</v>
      </c>
      <c r="B13" s="4" t="s">
        <v>41</v>
      </c>
      <c r="C13" s="4" t="s">
        <v>42</v>
      </c>
      <c r="D13" s="4" t="s">
        <v>43</v>
      </c>
      <c r="E13" s="4" t="s">
        <v>19</v>
      </c>
      <c r="F13" s="4" t="s">
        <v>20</v>
      </c>
      <c r="G13" s="4" t="s">
        <v>44</v>
      </c>
      <c r="H13" s="4" t="s">
        <v>45</v>
      </c>
      <c r="I13" s="4" t="s">
        <v>46</v>
      </c>
      <c r="J13" s="7"/>
      <c r="K13" s="7"/>
      <c r="L13" s="7"/>
      <c r="M13" s="7"/>
      <c r="N13" s="3"/>
    </row>
    <row r="14" spans="1:14" ht="92.4" x14ac:dyDescent="0.25">
      <c r="A14" s="17" t="s">
        <v>47</v>
      </c>
      <c r="B14" s="17" t="s">
        <v>48</v>
      </c>
      <c r="C14" s="7" t="s">
        <v>49</v>
      </c>
      <c r="D14" s="7" t="s">
        <v>50</v>
      </c>
      <c r="E14" s="4" t="s">
        <v>51</v>
      </c>
      <c r="F14" s="7" t="s">
        <v>20</v>
      </c>
      <c r="G14" s="7" t="s">
        <v>52</v>
      </c>
      <c r="H14" s="7" t="s">
        <v>53</v>
      </c>
      <c r="I14" s="7" t="s">
        <v>46</v>
      </c>
      <c r="J14" s="7"/>
      <c r="K14" s="7"/>
      <c r="L14" s="7"/>
      <c r="M14" s="7"/>
      <c r="N14" s="3"/>
    </row>
    <row r="15" spans="1:14" ht="105.6" x14ac:dyDescent="0.25">
      <c r="A15" s="18"/>
      <c r="B15" s="18"/>
      <c r="C15" s="7" t="s">
        <v>54</v>
      </c>
      <c r="D15" s="7" t="s">
        <v>55</v>
      </c>
      <c r="E15" s="4" t="s">
        <v>51</v>
      </c>
      <c r="F15" s="7" t="s">
        <v>20</v>
      </c>
      <c r="G15" s="7" t="s">
        <v>56</v>
      </c>
      <c r="H15" s="7" t="s">
        <v>57</v>
      </c>
      <c r="I15" s="7" t="s">
        <v>46</v>
      </c>
      <c r="J15" s="7"/>
      <c r="K15" s="7"/>
      <c r="L15" s="7"/>
      <c r="M15" s="7"/>
      <c r="N15" s="3"/>
    </row>
    <row r="16" spans="1:14" ht="118.8" x14ac:dyDescent="0.25">
      <c r="A16" s="18"/>
      <c r="B16" s="18"/>
      <c r="C16" s="7" t="s">
        <v>58</v>
      </c>
      <c r="D16" s="7" t="s">
        <v>59</v>
      </c>
      <c r="E16" s="4" t="s">
        <v>51</v>
      </c>
      <c r="F16" s="7" t="s">
        <v>60</v>
      </c>
      <c r="G16" s="7" t="s">
        <v>61</v>
      </c>
      <c r="H16" s="7" t="s">
        <v>62</v>
      </c>
      <c r="I16" s="7" t="s">
        <v>46</v>
      </c>
      <c r="J16" s="7"/>
      <c r="K16" s="7"/>
      <c r="L16" s="7"/>
      <c r="M16" s="7"/>
      <c r="N16" s="3"/>
    </row>
    <row r="17" spans="1:15" ht="52.8" x14ac:dyDescent="0.25">
      <c r="A17" s="18"/>
      <c r="B17" s="18"/>
      <c r="C17" s="7" t="s">
        <v>63</v>
      </c>
      <c r="D17" s="7" t="s">
        <v>64</v>
      </c>
      <c r="E17" s="4" t="s">
        <v>51</v>
      </c>
      <c r="F17" s="7" t="s">
        <v>65</v>
      </c>
      <c r="G17" s="7" t="s">
        <v>66</v>
      </c>
      <c r="H17" s="7" t="str">
        <f ca="1">IFERROR(__xludf.DUMMYFUNCTION("AI(""Fill an appropriate value for this cell based on the table context"")"),"Email is validated and moving ahead")</f>
        <v>Email is validated and moving ahead</v>
      </c>
      <c r="I17" s="7" t="s">
        <v>46</v>
      </c>
      <c r="J17" s="7"/>
      <c r="K17" s="7"/>
      <c r="L17" s="7"/>
      <c r="M17" s="7"/>
      <c r="N17" s="3"/>
    </row>
    <row r="18" spans="1:15" ht="132" x14ac:dyDescent="0.25">
      <c r="A18" s="18"/>
      <c r="B18" s="18"/>
      <c r="C18" s="7" t="s">
        <v>67</v>
      </c>
      <c r="D18" s="7" t="s">
        <v>68</v>
      </c>
      <c r="E18" s="4" t="s">
        <v>51</v>
      </c>
      <c r="F18" s="7">
        <v>9265721530</v>
      </c>
      <c r="G18" s="7" t="s">
        <v>69</v>
      </c>
      <c r="H18" s="7" t="str">
        <f ca="1">IFERROR(__xludf.DUMMYFUNCTION("AI(""Fill an appropriate value for this cell based on the table context"")"),"Phone number accepts 10 digits and numeric value only")</f>
        <v>Phone number accepts 10 digits and numeric value only</v>
      </c>
      <c r="I18" s="7" t="s">
        <v>46</v>
      </c>
      <c r="J18" s="7"/>
      <c r="K18" s="7"/>
      <c r="L18" s="7"/>
      <c r="M18" s="7"/>
      <c r="N18" s="3"/>
    </row>
    <row r="19" spans="1:15" ht="105.6" x14ac:dyDescent="0.25">
      <c r="A19" s="18"/>
      <c r="B19" s="18"/>
      <c r="C19" s="7" t="s">
        <v>70</v>
      </c>
      <c r="D19" s="7" t="s">
        <v>71</v>
      </c>
      <c r="E19" s="4" t="s">
        <v>51</v>
      </c>
      <c r="F19" s="7" t="s">
        <v>72</v>
      </c>
      <c r="G19" s="7" t="str">
        <f ca="1">IFERROR(__xludf.DUMMYFUNCTION("AI(""Fill an appropriate value for this cell based on the table context"")"),"Password should be validated for strength based on complexity and length requirements")</f>
        <v>Password should be validated for strength based on complexity and length requirements</v>
      </c>
      <c r="H19" s="7" t="str">
        <f ca="1">IFERROR(__xludf.DUMMYFUNCTION("AI(""Fill an appropriate value for this cell based on the table context"")"),"Password is validated for strength based on complexity and length requirements")</f>
        <v>Password is validated for strength based on complexity and length requirements</v>
      </c>
      <c r="I19" s="7" t="s">
        <v>46</v>
      </c>
      <c r="J19" s="7"/>
      <c r="K19" s="7"/>
      <c r="L19" s="7"/>
      <c r="M19" s="7"/>
      <c r="N19" s="3"/>
    </row>
    <row r="20" spans="1:15" ht="158.4" x14ac:dyDescent="0.25">
      <c r="A20" s="18"/>
      <c r="B20" s="18"/>
      <c r="C20" s="7" t="s">
        <v>73</v>
      </c>
      <c r="D20" s="7" t="s">
        <v>74</v>
      </c>
      <c r="E20" s="4" t="s">
        <v>51</v>
      </c>
      <c r="F20" s="7" t="s">
        <v>20</v>
      </c>
      <c r="G20" s="7" t="str">
        <f ca="1">IFERROR(__xludf.DUMMYFUNCTION("AI(""Fill an appropriate value for this cell based on the table context"")"),"User should be able to select Fresher or Experienced from the dropdown.")</f>
        <v>User should be able to select Fresher or Experienced from the dropdown.</v>
      </c>
      <c r="H20" s="7" t="s">
        <v>75</v>
      </c>
      <c r="I20" s="8" t="s">
        <v>76</v>
      </c>
      <c r="J20" s="7" t="str">
        <f ca="1">IFERROR(__xludf.DUMMYFUNCTION("AI(""Fill an appropriate value for this cell based on the table context"")"),"Users are unable to register as experienced candidates, preventing a significant segment of the target audience from accessing the platform.")</f>
        <v>Users are unable to register as experienced candidates, preventing a significant segment of the target audience from accessing the platform.</v>
      </c>
      <c r="K20" s="7" t="str">
        <f ca="1">IFERROR(__xludf.DUMMYFUNCTION("AI(""Fill an appropriate value for this cell based on the table context"")"),"High")</f>
        <v>High</v>
      </c>
      <c r="L20" s="9" t="s">
        <v>77</v>
      </c>
      <c r="M20" s="10" t="s">
        <v>78</v>
      </c>
      <c r="N20" s="3" t="s">
        <v>79</v>
      </c>
    </row>
    <row r="21" spans="1:15" ht="105.6" x14ac:dyDescent="0.25">
      <c r="A21" s="18"/>
      <c r="B21" s="18"/>
      <c r="C21" s="7" t="s">
        <v>80</v>
      </c>
      <c r="D21" s="7" t="s">
        <v>81</v>
      </c>
      <c r="E21" s="4" t="s">
        <v>82</v>
      </c>
      <c r="F21" s="7" t="s">
        <v>20</v>
      </c>
      <c r="G21" s="7" t="str">
        <f ca="1">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21" s="7" t="str">
        <f ca="1">IFERROR(__xludf.DUMMYFUNCTION("AI(""Fill an appropriate value for this cell based on the table context"")"),"All details are submitted successfully and user is redirected to the next page")</f>
        <v>All details are submitted successfully and user is redirected to the next page</v>
      </c>
      <c r="I21" s="7" t="s">
        <v>46</v>
      </c>
      <c r="J21" s="7"/>
      <c r="K21" s="7"/>
      <c r="L21" s="7"/>
      <c r="M21" s="10" t="s">
        <v>83</v>
      </c>
      <c r="N21" s="3" t="s">
        <v>79</v>
      </c>
    </row>
    <row r="22" spans="1:15" ht="66" x14ac:dyDescent="0.25">
      <c r="A22" s="18"/>
      <c r="B22" s="19"/>
      <c r="C22" s="7" t="s">
        <v>84</v>
      </c>
      <c r="D22" s="7" t="s">
        <v>85</v>
      </c>
      <c r="E22" s="4" t="s">
        <v>86</v>
      </c>
      <c r="F22" s="7" t="s">
        <v>20</v>
      </c>
      <c r="G22" s="7" t="str">
        <f ca="1">IFERROR(__xludf.DUMMYFUNCTION("AI(""Fill an appropriate value for this cell based on the table context"")"),"Resume should be uploaded successfully.")</f>
        <v>Resume should be uploaded successfully.</v>
      </c>
      <c r="H22" s="7" t="str">
        <f ca="1">IFERROR(__xludf.DUMMYFUNCTION("AI(""Fill an appropriate value for this cell based on the table context"")"),"Resume is uploaded successfully and displayed on the page")</f>
        <v>Resume is uploaded successfully and displayed on the page</v>
      </c>
      <c r="I22" s="7" t="s">
        <v>46</v>
      </c>
      <c r="J22" s="7"/>
      <c r="K22" s="7"/>
      <c r="L22" s="7"/>
      <c r="M22" s="7"/>
      <c r="N22" s="3"/>
    </row>
    <row r="23" spans="1:15" ht="92.4" x14ac:dyDescent="0.25">
      <c r="A23" s="18"/>
      <c r="B23" s="17" t="s">
        <v>87</v>
      </c>
      <c r="C23" s="7" t="s">
        <v>88</v>
      </c>
      <c r="D23" s="7" t="s">
        <v>89</v>
      </c>
      <c r="E23" s="7" t="s">
        <v>90</v>
      </c>
      <c r="F23" s="7" t="s">
        <v>91</v>
      </c>
      <c r="G23" s="7" t="str">
        <f ca="1">IFERROR(__xludf.DUMMYFUNCTION("AI(""Fill an appropriate value for this cell based on the table context"")"),"User should not be able to log in and an error message should be displayed.")</f>
        <v>User should not be able to log in and an error message should be displayed.</v>
      </c>
      <c r="H23" s="7" t="str">
        <f ca="1">IFERROR(__xludf.DUMMYFUNCTION("AI(""Fill an appropriate value for this cell based on the table context"")"),"User is not able to log in and an error message is displayed.")</f>
        <v>User is not able to log in and an error message is displayed.</v>
      </c>
      <c r="I23" s="7" t="s">
        <v>46</v>
      </c>
      <c r="J23" s="7"/>
      <c r="K23" s="7"/>
      <c r="L23" s="7"/>
      <c r="M23" s="7"/>
      <c r="N23" s="3"/>
    </row>
    <row r="24" spans="1:15" ht="105.6" x14ac:dyDescent="0.25">
      <c r="A24" s="18"/>
      <c r="B24" s="18"/>
      <c r="C24" s="7" t="s">
        <v>92</v>
      </c>
      <c r="D24" s="7" t="str">
        <f ca="1">IFERROR(__xludf.DUMMYFUNCTION("AI(""Fill an appropriate value for this cell based on the table context"")"),"Verify whether the user is able to log in with valid credentials or not")</f>
        <v>Verify whether the user is able to log in with valid credentials or not</v>
      </c>
      <c r="E24" s="7" t="s">
        <v>90</v>
      </c>
      <c r="F24" s="7" t="s">
        <v>93</v>
      </c>
      <c r="G24" s="7" t="str">
        <f ca="1">IFERROR(__xludf.DUMMYFUNCTION("AI(""Fill an appropriate value for this cell based on the table context"")"),"User should be able to log in successfully and be redirected to the dashboard.")</f>
        <v>User should be able to log in successfully and be redirected to the dashboard.</v>
      </c>
      <c r="H24" s="7" t="str">
        <f ca="1">IFERROR(__xludf.DUMMYFUNCTION("AI(""Fill an appropriate value for this cell based on the table context"")"),"User is able to log in successfully and is redirected to the dashboard.")</f>
        <v>User is able to log in successfully and is redirected to the dashboard.</v>
      </c>
      <c r="I24" s="7" t="s">
        <v>46</v>
      </c>
      <c r="J24" s="7"/>
      <c r="K24" s="7"/>
      <c r="L24" s="7"/>
      <c r="M24" s="7"/>
      <c r="N24" s="3"/>
    </row>
    <row r="25" spans="1:15" ht="118.8" x14ac:dyDescent="0.25">
      <c r="A25" s="18"/>
      <c r="B25" s="18"/>
      <c r="C25" s="7" t="s">
        <v>94</v>
      </c>
      <c r="D25" s="7" t="str">
        <f ca="1">IFERROR(__xludf.DUMMYFUNCTION("AI(""Fill an appropriate value for this cell based on the table context"")"),"Check whether the user is able to reset their password using the Forget Password link or button.")</f>
        <v>Check whether the user is able to reset their password using the Forget Password link or button.</v>
      </c>
      <c r="E25" s="7" t="s">
        <v>95</v>
      </c>
      <c r="F25" s="7" t="s">
        <v>20</v>
      </c>
      <c r="G25" s="7" t="str">
        <f ca="1">IFERROR(__xludf.DUMMYFUNCTION("AI(""Fill an appropriate value for this cell based on the table context"")"),"User should be able to reset their password and receive a reset link or confirmation message.")</f>
        <v>User should be able to reset their password and receive a reset link or confirmation message.</v>
      </c>
      <c r="H25" s="7" t="str">
        <f ca="1">IFERROR(__xludf.DUMMYFUNCTION("AI(""Fill an appropriate value for this cell based on the table context"")"),"User is unable to reset their password and the reset link is not received.")</f>
        <v>User is unable to reset their password and the reset link is not received.</v>
      </c>
      <c r="I25" s="8" t="s">
        <v>76</v>
      </c>
      <c r="J25" s="7" t="s">
        <v>96</v>
      </c>
      <c r="K25" s="7" t="s">
        <v>97</v>
      </c>
      <c r="L25" s="9" t="s">
        <v>98</v>
      </c>
      <c r="M25" s="7"/>
      <c r="N25" s="3"/>
    </row>
    <row r="26" spans="1:15" ht="105.6" x14ac:dyDescent="0.25">
      <c r="A26" s="18"/>
      <c r="B26" s="19"/>
      <c r="C26" s="7" t="s">
        <v>99</v>
      </c>
      <c r="D26" s="7" t="s">
        <v>100</v>
      </c>
      <c r="E26" s="4" t="s">
        <v>101</v>
      </c>
      <c r="F26" s="7" t="s">
        <v>20</v>
      </c>
      <c r="G26" s="7" t="str">
        <f ca="1">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26" s="7" t="str">
        <f ca="1">IFERROR(__xludf.DUMMYFUNCTION("AI(""Fill an appropriate value for this cell based on the table context"")"),"All details are submitted successfully and user is redirected to the next page")</f>
        <v>All details are submitted successfully and user is redirected to the next page</v>
      </c>
      <c r="I26" s="7" t="s">
        <v>46</v>
      </c>
      <c r="J26" s="7"/>
      <c r="K26" s="7"/>
      <c r="L26" s="7"/>
      <c r="M26" s="7"/>
      <c r="N26" s="3"/>
    </row>
    <row r="27" spans="1:15" ht="92.4" x14ac:dyDescent="0.25">
      <c r="A27" s="18"/>
      <c r="B27" s="7" t="s">
        <v>102</v>
      </c>
      <c r="C27" s="7" t="s">
        <v>103</v>
      </c>
      <c r="D27" s="7" t="s">
        <v>104</v>
      </c>
      <c r="E27" s="4" t="s">
        <v>101</v>
      </c>
      <c r="F27" s="7" t="s">
        <v>20</v>
      </c>
      <c r="G27" s="7" t="str">
        <f ca="1">IFERROR(__xludf.DUMMYFUNCTION("AI(""Fill an appropriate value for this cell based on the table context"")"),"Logo should be clearly visible in the profile section.")</f>
        <v>Logo should be clearly visible in the profile section.</v>
      </c>
      <c r="H27" s="7" t="str">
        <f ca="1">IFERROR(__xludf.DUMMYFUNCTION("AI(""Fill an appropriate value for this cell based on the table context"")"),"Logo is not present or visible.")</f>
        <v>Logo is not present or visible.</v>
      </c>
      <c r="I27" s="8" t="s">
        <v>105</v>
      </c>
      <c r="J27" s="7" t="s">
        <v>106</v>
      </c>
      <c r="K27" s="7" t="s">
        <v>107</v>
      </c>
      <c r="L27" s="9" t="s">
        <v>108</v>
      </c>
      <c r="M27" s="7"/>
      <c r="N27" s="3"/>
      <c r="O27" s="11" t="s">
        <v>109</v>
      </c>
    </row>
    <row r="28" spans="1:15" ht="105.6" x14ac:dyDescent="0.25">
      <c r="A28" s="18"/>
      <c r="B28" s="17" t="s">
        <v>110</v>
      </c>
      <c r="C28" s="7" t="s">
        <v>111</v>
      </c>
      <c r="D28" s="7" t="s">
        <v>112</v>
      </c>
      <c r="E28" s="4" t="s">
        <v>101</v>
      </c>
      <c r="F28" s="7" t="s">
        <v>20</v>
      </c>
      <c r="G28" s="7" t="str">
        <f ca="1">IFERROR(__xludf.DUMMYFUNCTION("AI(""Fill an appropriate value for this cell based on the table context"")"),"All text should be clearly visible and correctly spelled in the profile summary section.")</f>
        <v>All text should be clearly visible and correctly spelled in the profile summary section.</v>
      </c>
      <c r="H28" s="7" t="str">
        <f ca="1">IFERROR(__xludf.DUMMYFUNCTION("AI(""Fill an appropriate value for this cell based on the table context"")"),"Some text is not clearly visible or contains spelling errors in the profile summary section.")</f>
        <v>Some text is not clearly visible or contains spelling errors in the profile summary section.</v>
      </c>
      <c r="I28" s="8" t="s">
        <v>76</v>
      </c>
      <c r="J28" s="7" t="str">
        <f ca="1">IFERROR(__xludf.DUMMYFUNCTION("AI(""Fill an appropriate value for this cell based on the table context"")"),"Users might get incorrect information or struggle to read the professional summary.")</f>
        <v>Users might get incorrect information or struggle to read the professional summary.</v>
      </c>
      <c r="K28" s="7" t="s">
        <v>107</v>
      </c>
      <c r="L28" s="12" t="s">
        <v>113</v>
      </c>
      <c r="M28" s="12" t="s">
        <v>114</v>
      </c>
      <c r="N28" s="13" t="s">
        <v>115</v>
      </c>
      <c r="O28" s="11">
        <v>1</v>
      </c>
    </row>
    <row r="29" spans="1:15" ht="79.2" x14ac:dyDescent="0.25">
      <c r="A29" s="18"/>
      <c r="B29" s="18"/>
      <c r="C29" s="7" t="s">
        <v>116</v>
      </c>
      <c r="D29" s="7" t="s">
        <v>117</v>
      </c>
      <c r="E29" s="4" t="s">
        <v>118</v>
      </c>
      <c r="F29" s="7" t="s">
        <v>20</v>
      </c>
      <c r="G29" s="7" t="str">
        <f ca="1">IFERROR(__xludf.DUMMYFUNCTION("AI(""Fill an appropriate value for this cell based on the table context"")"),"User should be able to edit fields successfully after clicking the edit icon.")</f>
        <v>User should be able to edit fields successfully after clicking the edit icon.</v>
      </c>
      <c r="H29" s="7" t="str">
        <f ca="1">IFERROR(__xludf.DUMMYFUNCTION("AI(""Fill an appropriate value for this cell based on the table context"")"),"The field should be editable and allow the user to update their information.")</f>
        <v>The field should be editable and allow the user to update their information.</v>
      </c>
      <c r="I29" s="7" t="s">
        <v>46</v>
      </c>
      <c r="J29" s="7"/>
      <c r="K29" s="7"/>
      <c r="L29" s="7"/>
      <c r="M29" s="7"/>
      <c r="N29" s="3"/>
    </row>
    <row r="30" spans="1:15" ht="171.6" x14ac:dyDescent="0.25">
      <c r="A30" s="18"/>
      <c r="B30" s="19"/>
      <c r="C30" s="7" t="s">
        <v>119</v>
      </c>
      <c r="D30" s="14" t="s">
        <v>120</v>
      </c>
      <c r="E30" s="4" t="s">
        <v>121</v>
      </c>
      <c r="F30" s="7" t="s">
        <v>20</v>
      </c>
      <c r="G30" s="7" t="str">
        <f ca="1">IFERROR(__xludf.DUMMYFUNCTION("AI(""Fill an appropriate value for this cell based on the table context"")"),"Changes should be successfully saved and correctly reflected in the field.")</f>
        <v>Changes should be successfully saved and correctly reflected in the field.</v>
      </c>
      <c r="H30" s="7" t="s">
        <v>122</v>
      </c>
      <c r="I30" s="8" t="s">
        <v>76</v>
      </c>
      <c r="J30" s="7" t="str">
        <f ca="1">IFERROR(__xludf.DUMMYFUNCTION("AI(""Fill an appropriate value for this cell based on the table context"")"),"Users are unable to update their contact information, resulting in outdated or incorrect profile data.")</f>
        <v>Users are unable to update their contact information, resulting in outdated or incorrect profile data.</v>
      </c>
      <c r="K30" s="7" t="s">
        <v>107</v>
      </c>
      <c r="L30" s="9" t="s">
        <v>123</v>
      </c>
      <c r="M30" s="10" t="s">
        <v>124</v>
      </c>
      <c r="N30" s="3"/>
    </row>
    <row r="31" spans="1:15" ht="105.6" x14ac:dyDescent="0.25">
      <c r="A31" s="18"/>
      <c r="B31" s="17" t="s">
        <v>125</v>
      </c>
      <c r="C31" s="7" t="s">
        <v>126</v>
      </c>
      <c r="D31" s="7" t="s">
        <v>117</v>
      </c>
      <c r="E31" s="4" t="s">
        <v>127</v>
      </c>
      <c r="F31" s="7" t="s">
        <v>20</v>
      </c>
      <c r="G31" s="7" t="str">
        <f ca="1">IFERROR(__xludf.DUMMYFUNCTION("AI(""Fill an appropriate value for this cell based on the table context"")"),"User should be able to edit fields successfully after clicking the edit icon.")</f>
        <v>User should be able to edit fields successfully after clicking the edit icon.</v>
      </c>
      <c r="H31" s="7" t="str">
        <f ca="1">IFERROR(__xludf.DUMMYFUNCTION("AI(""Fill an appropriate value for this cell based on the table context"")"),"The field should be editable and allow the user to update their information.")</f>
        <v>The field should be editable and allow the user to update their information.</v>
      </c>
      <c r="I31" s="7" t="s">
        <v>46</v>
      </c>
      <c r="J31" s="7"/>
      <c r="K31" s="7"/>
      <c r="L31" s="7"/>
      <c r="M31" s="7"/>
      <c r="N31" s="3"/>
    </row>
    <row r="32" spans="1:15" ht="105.6" x14ac:dyDescent="0.25">
      <c r="A32" s="18"/>
      <c r="B32" s="19"/>
      <c r="C32" s="7" t="s">
        <v>128</v>
      </c>
      <c r="D32" s="14" t="s">
        <v>120</v>
      </c>
      <c r="E32" s="4" t="s">
        <v>127</v>
      </c>
      <c r="F32" s="7" t="s">
        <v>20</v>
      </c>
      <c r="G32" s="7" t="str">
        <f ca="1">IFERROR(__xludf.DUMMYFUNCTION("AI(""Fill an appropriate value for this cell based on the table context"")"),"Changes should be successfully saved and correctly reflected in the field.")</f>
        <v>Changes should be successfully saved and correctly reflected in the field.</v>
      </c>
      <c r="H32" s="7" t="str">
        <f ca="1">IFERROR(__xludf.DUMMYFUNCTION("AI(""Fill an appropriate value for this cell based on the table context"")"),"Changes are successfully saved and correctly reflected in the field.")</f>
        <v>Changes are successfully saved and correctly reflected in the field.</v>
      </c>
      <c r="I32" s="7" t="s">
        <v>46</v>
      </c>
      <c r="J32" s="7"/>
      <c r="K32" s="7"/>
      <c r="L32" s="7"/>
      <c r="M32" s="7"/>
      <c r="N32" s="3"/>
    </row>
    <row r="33" spans="1:14" ht="105.6" x14ac:dyDescent="0.25">
      <c r="A33" s="18"/>
      <c r="B33" s="17" t="s">
        <v>129</v>
      </c>
      <c r="C33" s="7" t="s">
        <v>130</v>
      </c>
      <c r="D33" s="7" t="s">
        <v>117</v>
      </c>
      <c r="E33" s="4" t="s">
        <v>131</v>
      </c>
      <c r="F33" s="7" t="s">
        <v>20</v>
      </c>
      <c r="G33" s="7" t="str">
        <f ca="1">IFERROR(__xludf.DUMMYFUNCTION("AI(""Fill an appropriate value for this cell based on the table context"")"),"User should be able to edit fields successfully after clicking the edit icon.")</f>
        <v>User should be able to edit fields successfully after clicking the edit icon.</v>
      </c>
      <c r="H33" s="7" t="str">
        <f ca="1">IFERROR(__xludf.DUMMYFUNCTION("AI(""Fill an appropriate value for this cell based on the table context"")"),"The field should be editable and allow the user to update their information.")</f>
        <v>The field should be editable and allow the user to update their information.</v>
      </c>
      <c r="I33" s="7" t="s">
        <v>46</v>
      </c>
      <c r="J33" s="7"/>
      <c r="K33" s="7"/>
      <c r="L33" s="7"/>
      <c r="M33" s="7"/>
      <c r="N33" s="3"/>
    </row>
    <row r="34" spans="1:14" ht="105.6" x14ac:dyDescent="0.25">
      <c r="A34" s="18"/>
      <c r="B34" s="19"/>
      <c r="C34" s="7" t="s">
        <v>132</v>
      </c>
      <c r="D34" s="14" t="s">
        <v>120</v>
      </c>
      <c r="E34" s="4" t="s">
        <v>131</v>
      </c>
      <c r="F34" s="7" t="s">
        <v>20</v>
      </c>
      <c r="G34" s="7" t="str">
        <f ca="1">IFERROR(__xludf.DUMMYFUNCTION("AI(""Fill an appropriate value for this cell based on the table context"")"),"Changes should be successfully saved and correctly reflected in the field.")</f>
        <v>Changes should be successfully saved and correctly reflected in the field.</v>
      </c>
      <c r="H34" s="7" t="str">
        <f ca="1">IFERROR(__xludf.DUMMYFUNCTION("AI(""Fill an appropriate value for this cell based on the table context"")"),"Changes are successfully saved and correctly reflected in the field.")</f>
        <v>Changes are successfully saved and correctly reflected in the field.</v>
      </c>
      <c r="I34" s="7" t="s">
        <v>46</v>
      </c>
      <c r="J34" s="7"/>
      <c r="K34" s="7"/>
      <c r="L34" s="7"/>
      <c r="M34" s="7"/>
      <c r="N34" s="3"/>
    </row>
    <row r="35" spans="1:14" ht="92.4" x14ac:dyDescent="0.25">
      <c r="A35" s="18"/>
      <c r="B35" s="7" t="s">
        <v>133</v>
      </c>
      <c r="C35" s="7" t="s">
        <v>134</v>
      </c>
      <c r="D35" s="7" t="s">
        <v>135</v>
      </c>
      <c r="E35" s="4" t="s">
        <v>136</v>
      </c>
      <c r="F35" s="7" t="s">
        <v>20</v>
      </c>
      <c r="G35" s="7" t="str">
        <f ca="1">IFERROR(__xludf.DUMMYFUNCTION("AI(""Fill an appropriate value for this cell based on the table context"")"),"User should be able to add experience successfully after clicking the add icon.")</f>
        <v>User should be able to add experience successfully after clicking the add icon.</v>
      </c>
      <c r="H35" s="7" t="str">
        <f ca="1">IFERROR(__xludf.DUMMYFUNCTION("AI(""Fill an appropriate value for this cell based on the table context"")"),"Experience should be added successfully and reflected in the profile.")</f>
        <v>Experience should be added successfully and reflected in the profile.</v>
      </c>
      <c r="I35" s="7" t="s">
        <v>46</v>
      </c>
      <c r="J35" s="7"/>
      <c r="K35" s="7"/>
      <c r="L35" s="7"/>
      <c r="M35" s="7"/>
      <c r="N35" s="3"/>
    </row>
    <row r="36" spans="1:14" ht="132" x14ac:dyDescent="0.25">
      <c r="A36" s="18"/>
      <c r="B36" s="7" t="s">
        <v>137</v>
      </c>
      <c r="C36" s="7" t="s">
        <v>138</v>
      </c>
      <c r="D36" s="14" t="s">
        <v>120</v>
      </c>
      <c r="E36" s="4" t="s">
        <v>139</v>
      </c>
      <c r="F36" s="7" t="s">
        <v>20</v>
      </c>
      <c r="G36" s="7" t="str">
        <f ca="1">IFERROR(__xludf.DUMMYFUNCTION("AI(""Fill an appropriate value for this cell based on the table context"")"),"Changes should be successfully saved and correctly reflected in the field.")</f>
        <v>Changes should be successfully saved and correctly reflected in the field.</v>
      </c>
      <c r="H36" s="7" t="str">
        <f ca="1">IFERROR(__xludf.DUMMYFUNCTION("AI(""Fill an appropriate value for this cell based on the table context"")"),"Changes are successfully saved and correctly reflected in the field.")</f>
        <v>Changes are successfully saved and correctly reflected in the field.</v>
      </c>
      <c r="I36" s="7" t="s">
        <v>46</v>
      </c>
      <c r="J36" s="7"/>
      <c r="K36" s="3"/>
      <c r="L36" s="9" t="s">
        <v>140</v>
      </c>
      <c r="M36" s="10" t="s">
        <v>141</v>
      </c>
      <c r="N36" s="3"/>
    </row>
    <row r="37" spans="1:14" ht="105.6" x14ac:dyDescent="0.25">
      <c r="A37" s="18"/>
      <c r="B37" s="7" t="s">
        <v>142</v>
      </c>
      <c r="C37" s="7" t="s">
        <v>143</v>
      </c>
      <c r="D37" s="14" t="s">
        <v>120</v>
      </c>
      <c r="E37" s="4" t="s">
        <v>144</v>
      </c>
      <c r="F37" s="7" t="s">
        <v>20</v>
      </c>
      <c r="G37" s="7" t="str">
        <f ca="1">IFERROR(__xludf.DUMMYFUNCTION("AI(""Fill an appropriate value for this cell based on the table context"")"),"Changes should be successfully saved and correctly reflected in the field.")</f>
        <v>Changes should be successfully saved and correctly reflected in the field.</v>
      </c>
      <c r="H37" s="7" t="str">
        <f ca="1">IFERROR(__xludf.DUMMYFUNCTION("AI(""Fill an appropriate value for this cell based on the table context"")"),"Changes are successfully saved and correctly reflected in the field.")</f>
        <v>Changes are successfully saved and correctly reflected in the field.</v>
      </c>
      <c r="I37" s="7" t="s">
        <v>46</v>
      </c>
      <c r="J37" s="7"/>
      <c r="K37" s="7"/>
      <c r="L37" s="7"/>
      <c r="M37" s="10" t="s">
        <v>145</v>
      </c>
      <c r="N37" s="3"/>
    </row>
    <row r="38" spans="1:14" ht="158.4" x14ac:dyDescent="0.25">
      <c r="A38" s="18"/>
      <c r="B38" s="7" t="s">
        <v>146</v>
      </c>
      <c r="C38" s="7" t="s">
        <v>147</v>
      </c>
      <c r="D38" s="14" t="s">
        <v>120</v>
      </c>
      <c r="E38" s="4" t="s">
        <v>148</v>
      </c>
      <c r="F38" s="7" t="s">
        <v>20</v>
      </c>
      <c r="G38" s="7" t="str">
        <f ca="1">IFERROR(__xludf.DUMMYFUNCTION("AI(""Fill an appropriate value for this cell based on the table context"")"),"Changes should be successfully saved and correctly reflected in the field.")</f>
        <v>Changes should be successfully saved and correctly reflected in the field.</v>
      </c>
      <c r="H38" s="7" t="str">
        <f ca="1">IFERROR(__xludf.DUMMYFUNCTION("AI(""Fill an appropriate value for this cell based on the table context"")"),"Changes are successfully saved and correctly reflected in the field.")</f>
        <v>Changes are successfully saved and correctly reflected in the field.</v>
      </c>
      <c r="I38" s="7" t="s">
        <v>46</v>
      </c>
      <c r="J38" s="7"/>
      <c r="K38" s="7"/>
      <c r="L38" s="9" t="s">
        <v>149</v>
      </c>
      <c r="M38" s="10" t="s">
        <v>150</v>
      </c>
      <c r="N38" s="3"/>
    </row>
    <row r="39" spans="1:14" ht="184.8" x14ac:dyDescent="0.25">
      <c r="A39" s="18"/>
      <c r="B39" s="7" t="s">
        <v>151</v>
      </c>
      <c r="C39" s="7" t="s">
        <v>152</v>
      </c>
      <c r="D39" s="7" t="str">
        <f ca="1">IFERROR(__xludf.DUMMYFUNCTION("AI(""Fill an appropriate value for this cell based on the table context"")"),"Verify that changes made to the language field are successfully saved and reflected.")</f>
        <v>Verify that changes made to the language field are successfully saved and reflected.</v>
      </c>
      <c r="E39" s="4" t="s">
        <v>153</v>
      </c>
      <c r="F39" s="7" t="s">
        <v>20</v>
      </c>
      <c r="G39" s="7" t="str">
        <f ca="1">IFERROR(__xludf.DUMMYFUNCTION("AI(""Fill an appropriate value for this cell based on the table context"")"),"Changes should be successfully saved and correctly reflected in the field.")</f>
        <v>Changes should be successfully saved and correctly reflected in the field.</v>
      </c>
      <c r="H39" s="7" t="str">
        <f ca="1">IFERROR(__xludf.DUMMYFUNCTION("AI(""Fill an appropriate value for this cell based on the table context"")"),"Changes are successfully saved and correctly reflected in the field.")</f>
        <v>Changes are successfully saved and correctly reflected in the field.</v>
      </c>
      <c r="I39" s="7" t="s">
        <v>46</v>
      </c>
      <c r="J39" s="7"/>
      <c r="K39" s="7"/>
      <c r="L39" s="7"/>
      <c r="M39" s="10" t="s">
        <v>154</v>
      </c>
      <c r="N39" s="3"/>
    </row>
    <row r="40" spans="1:14" ht="118.8" x14ac:dyDescent="0.25">
      <c r="A40" s="18"/>
      <c r="B40" s="17" t="s">
        <v>155</v>
      </c>
      <c r="C40" s="7" t="s">
        <v>156</v>
      </c>
      <c r="D40" s="7" t="s">
        <v>157</v>
      </c>
      <c r="E40" s="4" t="s">
        <v>158</v>
      </c>
      <c r="F40" s="7" t="s">
        <v>20</v>
      </c>
      <c r="G40" s="7" t="str">
        <f ca="1">IFERROR(__xludf.DUMMYFUNCTION("AI(""Fill an appropriate value for this cell based on the table context"")"),"Resume should be uploaded successfully and a success message should be displayed.")</f>
        <v>Resume should be uploaded successfully and a success message should be displayed.</v>
      </c>
      <c r="H40" s="7" t="str">
        <f ca="1">IFERROR(__xludf.DUMMYFUNCTION("AI(""Fill an appropriate value for this cell based on the table context"")"),"Resume is uploaded successfully and reflected in the profile section.")</f>
        <v>Resume is uploaded successfully and reflected in the profile section.</v>
      </c>
      <c r="I40" s="7" t="s">
        <v>46</v>
      </c>
      <c r="J40" s="7"/>
      <c r="K40" s="7"/>
      <c r="L40" s="7"/>
      <c r="M40" s="7"/>
      <c r="N40" s="3"/>
    </row>
    <row r="41" spans="1:14" ht="145.19999999999999" x14ac:dyDescent="0.25">
      <c r="A41" s="18"/>
      <c r="B41" s="19"/>
      <c r="C41" s="7" t="s">
        <v>159</v>
      </c>
      <c r="D41" s="7" t="s">
        <v>160</v>
      </c>
      <c r="E41" s="4" t="s">
        <v>158</v>
      </c>
      <c r="F41" s="7" t="s">
        <v>20</v>
      </c>
      <c r="G41" s="7" t="str">
        <f ca="1">IFERROR(__xludf.DUMMYFUNCTION("AI(""Fill an appropriate value for this cell based on the table context"")"),"Profile Index should be 100% after providing all necessary details.")</f>
        <v>Profile Index should be 100% after providing all necessary details.</v>
      </c>
      <c r="H41" s="7" t="str">
        <f ca="1">IFERROR(__xludf.DUMMYFUNCTION("AI(""Fill an appropriate value for this cell based on the table context"")"),"Profile Index does not reach 100% even after all details and resume are uploaded.")</f>
        <v>Profile Index does not reach 100% even after all details and resume are uploaded.</v>
      </c>
      <c r="I41" s="8" t="s">
        <v>76</v>
      </c>
      <c r="J41" s="7" t="str">
        <f ca="1">IFERROR(__xludf.DUMMYFUNCTION("AI(""Fill an appropriate value for this cell based on the table context"")"),"Users may be misled about their profile's completion status, potentially leading to missed job opportunities or incomplete applications.")</f>
        <v>Users may be misled about their profile's completion status, potentially leading to missed job opportunities or incomplete applications.</v>
      </c>
      <c r="K41" s="7" t="s">
        <v>107</v>
      </c>
      <c r="L41" s="9" t="s">
        <v>161</v>
      </c>
      <c r="M41" s="7"/>
      <c r="N41" s="3"/>
    </row>
    <row r="42" spans="1:14" ht="105.6" x14ac:dyDescent="0.25">
      <c r="A42" s="18"/>
      <c r="B42" s="17" t="s">
        <v>162</v>
      </c>
      <c r="C42" s="7" t="s">
        <v>163</v>
      </c>
      <c r="D42" s="7" t="s">
        <v>164</v>
      </c>
      <c r="E42" s="4" t="s">
        <v>165</v>
      </c>
      <c r="F42" s="7" t="s">
        <v>20</v>
      </c>
      <c r="G42" s="7" t="str">
        <f ca="1">IFERROR(__xludf.DUMMYFUNCTION("AI(""Fill an appropriate value for this cell based on the table context"")"),"The search icon should successfully initiate a search and display relevant job results.")</f>
        <v>The search icon should successfully initiate a search and display relevant job results.</v>
      </c>
      <c r="H42" s="7" t="str">
        <f ca="1">IFERROR(__xludf.DUMMYFUNCTION("AI(""Fill an appropriate value for this cell based on the table context"")"),"The search icon is searching for jobs and displaying relevant results.")</f>
        <v>The search icon is searching for jobs and displaying relevant results.</v>
      </c>
      <c r="I42" s="7" t="s">
        <v>46</v>
      </c>
      <c r="J42" s="7"/>
      <c r="K42" s="7"/>
      <c r="L42" s="7"/>
      <c r="M42" s="7"/>
      <c r="N42" s="3"/>
    </row>
    <row r="43" spans="1:14" ht="132" x14ac:dyDescent="0.25">
      <c r="A43" s="18"/>
      <c r="B43" s="18"/>
      <c r="C43" s="7" t="s">
        <v>166</v>
      </c>
      <c r="D43" s="7" t="str">
        <f ca="1">IFERROR(__xludf.DUMMYFUNCTION("AI(""Fill an appropriate value for this cell based on the table context"")"),"Verify whether the job search filters are working correctly or not")</f>
        <v>Verify whether the job search filters are working correctly or not</v>
      </c>
      <c r="E43" s="4" t="s">
        <v>167</v>
      </c>
      <c r="F43" s="7" t="s">
        <v>20</v>
      </c>
      <c r="G43" s="7" t="str">
        <f ca="1">IFERROR(__xludf.DUMMYFUNCTION("AI(""Fill an appropriate value for this cell based on the table context"")"),"The job search filters should successfully refine and narrow down the job results based on the selected criteria.")</f>
        <v>The job search filters should successfully refine and narrow down the job results based on the selected criteria.</v>
      </c>
      <c r="H43" s="7" t="str">
        <f ca="1">IFERROR(__xludf.DUMMYFUNCTION("AI(""Fill an appropriate value for this cell based on the table context"")"),"Job search filters are working correctly and displaying relevant results.")</f>
        <v>Job search filters are working correctly and displaying relevant results.</v>
      </c>
      <c r="I43" s="7" t="s">
        <v>23</v>
      </c>
      <c r="J43" s="7"/>
      <c r="K43" s="7"/>
      <c r="L43" s="7"/>
      <c r="M43" s="7"/>
      <c r="N43" s="3"/>
    </row>
    <row r="44" spans="1:14" ht="145.19999999999999" x14ac:dyDescent="0.25">
      <c r="A44" s="18"/>
      <c r="B44" s="18"/>
      <c r="C44" s="7" t="s">
        <v>168</v>
      </c>
      <c r="D44" s="7" t="s">
        <v>169</v>
      </c>
      <c r="E44" s="4" t="s">
        <v>170</v>
      </c>
      <c r="F44" s="7" t="s">
        <v>20</v>
      </c>
      <c r="G44" s="7" t="str">
        <f ca="1">IFERROR(__xludf.DUMMYFUNCTION("AI(""Fill an appropriate value for this cell based on the table context"")"),"Horizontal slider should move smoothly and display content correctly.")</f>
        <v>Horizontal slider should move smoothly and display content correctly.</v>
      </c>
      <c r="H44" s="7" t="str">
        <f ca="1">IFERROR(__xludf.DUMMYFUNCTION("AI(""Fill an appropriate value for this cell based on the table context"")"),"Horizontal slider is not working properly or displaying content correctly.")</f>
        <v>Horizontal slider is not working properly or displaying content correctly.</v>
      </c>
      <c r="I44" s="8" t="s">
        <v>76</v>
      </c>
      <c r="J44" s="7" t="str">
        <f ca="1">IFERROR(__xludf.DUMMYFUNCTION("AI(""Fill an appropriate value for this cell based on the table context"")"),"Users may experience difficulty navigating through job listings or viewing important content hidden within the slider.")</f>
        <v>Users may experience difficulty navigating through job listings or viewing important content hidden within the slider.</v>
      </c>
      <c r="K44" s="7" t="s">
        <v>171</v>
      </c>
      <c r="L44" s="9" t="s">
        <v>172</v>
      </c>
      <c r="M44" s="7"/>
      <c r="N44" s="3"/>
    </row>
    <row r="45" spans="1:14" ht="118.8" x14ac:dyDescent="0.25">
      <c r="A45" s="18"/>
      <c r="B45" s="18"/>
      <c r="C45" s="7" t="s">
        <v>173</v>
      </c>
      <c r="D45" s="7" t="str">
        <f ca="1">IFERROR(__xludf.DUMMYFUNCTION("AI(""Fill an appropriate value for this cell based on the table context"")"),"Verify whether the user is able to mark a job as a favorite or not")</f>
        <v>Verify whether the user is able to mark a job as a favorite or not</v>
      </c>
      <c r="E45" s="4" t="s">
        <v>174</v>
      </c>
      <c r="F45" s="7" t="s">
        <v>20</v>
      </c>
      <c r="G45" s="7" t="str">
        <f ca="1">IFERROR(__xludf.DUMMYFUNCTION("AI(""Fill an appropriate value for this cell based on the table context"")"),"User should be able to mark a job as a favorite successfully and view it in the favorites or saved jobs section.")</f>
        <v>User should be able to mark a job as a favorite successfully and view it in the favorites or saved jobs section.</v>
      </c>
      <c r="H45" s="7" t="str">
        <f ca="1">IFERROR(__xludf.DUMMYFUNCTION("AI(""Fill an appropriate value for this cell based on the table context"")"),"The job is successfully marked as a favorite and appears in the saved jobs section.")</f>
        <v>The job is successfully marked as a favorite and appears in the saved jobs section.</v>
      </c>
      <c r="I45" s="7" t="s">
        <v>46</v>
      </c>
      <c r="J45" s="7"/>
      <c r="K45" s="7"/>
      <c r="L45" s="7"/>
      <c r="M45" s="7"/>
      <c r="N45" s="3"/>
    </row>
    <row r="46" spans="1:14" ht="171.6" x14ac:dyDescent="0.25">
      <c r="A46" s="18"/>
      <c r="B46" s="19"/>
      <c r="C46" s="7" t="s">
        <v>175</v>
      </c>
      <c r="D46" s="7" t="s">
        <v>176</v>
      </c>
      <c r="E46" s="4" t="s">
        <v>177</v>
      </c>
      <c r="F46" s="7" t="s">
        <v>20</v>
      </c>
      <c r="G46" s="7" t="str">
        <f ca="1">IFERROR(__xludf.DUMMYFUNCTION("AI(""Fill an appropriate value for this cell based on the table context"")"),"User should be able to share the job details successfully through the share icon.")</f>
        <v>User should be able to share the job details successfully through the share icon.</v>
      </c>
      <c r="H46" s="7" t="str">
        <f ca="1">IFERROR(__xludf.DUMMYFUNCTION("AI(""Fill an appropriate value for this cell based on the table context"")"),"The share button is not responding or allowing the user to share the job.")</f>
        <v>The share button is not responding or allowing the user to share the job.</v>
      </c>
      <c r="I46" s="8" t="s">
        <v>76</v>
      </c>
      <c r="J46" s="7" t="str">
        <f ca="1">IFERROR(__xludf.DUMMYFUNCTION("AI(""Fill an appropriate value for this cell based on the table context"")"),"Users are unable to share job opportunities with their network, potentially reducing the reach of job postings and limiting applicant pools.")</f>
        <v>Users are unable to share job opportunities with their network, potentially reducing the reach of job postings and limiting applicant pools.</v>
      </c>
      <c r="K46" s="7" t="s">
        <v>178</v>
      </c>
      <c r="L46" s="12" t="s">
        <v>179</v>
      </c>
      <c r="M46" s="7"/>
      <c r="N46" s="3"/>
    </row>
    <row r="47" spans="1:14" ht="145.19999999999999" x14ac:dyDescent="0.25">
      <c r="A47" s="18"/>
      <c r="B47" s="7" t="s">
        <v>180</v>
      </c>
      <c r="C47" s="7" t="s">
        <v>181</v>
      </c>
      <c r="D47" s="7" t="s">
        <v>182</v>
      </c>
      <c r="E47" s="4" t="s">
        <v>183</v>
      </c>
      <c r="F47" s="7"/>
      <c r="G47" s="7" t="str">
        <f ca="1">IFERROR(__xludf.DUMMYFUNCTION("AI(""Fill an appropriate value for this cell based on the table context"")"),"All job details, including title, description, requirements, and responsibilities, should be clearly visible and accurately displayed.")</f>
        <v>All job details, including title, description, requirements, and responsibilities, should be clearly visible and accurately displayed.</v>
      </c>
      <c r="H47" s="7" t="s">
        <v>184</v>
      </c>
      <c r="I47" s="7" t="s">
        <v>46</v>
      </c>
      <c r="J47" s="7"/>
      <c r="K47" s="7"/>
      <c r="L47" s="7"/>
      <c r="M47" s="15" t="s">
        <v>185</v>
      </c>
      <c r="N47" s="3"/>
    </row>
    <row r="48" spans="1:14" ht="145.19999999999999" x14ac:dyDescent="0.25">
      <c r="A48" s="18"/>
      <c r="B48" s="17" t="s">
        <v>186</v>
      </c>
      <c r="C48" s="7" t="s">
        <v>187</v>
      </c>
      <c r="D48" s="7" t="str">
        <f ca="1">IFERROR(__xludf.DUMMYFUNCTION("AI(""Fill an appropriate value for this cell based on the table context"")"),"Verify whether the company profile information is visible and accurate after selecting a company.")</f>
        <v>Verify whether the company profile information is visible and accurate after selecting a company.</v>
      </c>
      <c r="E48" s="4" t="s">
        <v>188</v>
      </c>
      <c r="F48" s="7" t="s">
        <v>20</v>
      </c>
      <c r="G48" s="7" t="str">
        <f ca="1">IFERROR(__xludf.DUMMYFUNCTION("AI(""Fill an appropriate value for this cell based on the table context"")"),"Company profile information, including history, vision, and mission, should be clearly visible and accurately displayed.")</f>
        <v>Company profile information, including history, vision, and mission, should be clearly visible and accurately displayed.</v>
      </c>
      <c r="H48" s="7" t="str">
        <f ca="1">IFERROR(__xludf.DUMMYFUNCTION("AI(""Fill an appropriate value for this cell based on the table context"")"),"Company profile information is clearly visible and accurate.")</f>
        <v>Company profile information is clearly visible and accurate.</v>
      </c>
      <c r="I48" s="7" t="s">
        <v>46</v>
      </c>
      <c r="J48" s="7"/>
      <c r="K48" s="7"/>
      <c r="L48" s="7"/>
      <c r="M48" s="15" t="s">
        <v>185</v>
      </c>
      <c r="N48" s="3"/>
    </row>
    <row r="49" spans="1:14" ht="145.19999999999999" x14ac:dyDescent="0.25">
      <c r="A49" s="18"/>
      <c r="B49" s="19"/>
      <c r="C49" s="7" t="s">
        <v>189</v>
      </c>
      <c r="D49" s="7" t="s">
        <v>190</v>
      </c>
      <c r="E49" s="4" t="s">
        <v>191</v>
      </c>
      <c r="F49" s="7" t="s">
        <v>20</v>
      </c>
      <c r="G49" s="7" t="str">
        <f ca="1">IFERROR(__xludf.DUMMYFUNCTION("AI(""Fill an appropriate value for this cell based on the table context"")"),"The user should be able to apply for the job successfully and receive a confirmation message or be redirected to a success page.")</f>
        <v>The user should be able to apply for the job successfully and receive a confirmation message or be redirected to a success page.</v>
      </c>
      <c r="H49" s="7" t="s">
        <v>192</v>
      </c>
      <c r="I49" s="7" t="s">
        <v>46</v>
      </c>
      <c r="J49" s="7"/>
      <c r="K49" s="7"/>
      <c r="L49" s="9" t="s">
        <v>193</v>
      </c>
      <c r="M49" s="10" t="s">
        <v>194</v>
      </c>
      <c r="N49" s="3"/>
    </row>
    <row r="50" spans="1:14" ht="132" x14ac:dyDescent="0.25">
      <c r="A50" s="18"/>
      <c r="B50" s="17" t="s">
        <v>195</v>
      </c>
      <c r="C50" s="7" t="s">
        <v>196</v>
      </c>
      <c r="D50" s="7" t="s">
        <v>197</v>
      </c>
      <c r="E50" s="4" t="s">
        <v>198</v>
      </c>
      <c r="F50" s="7" t="s">
        <v>20</v>
      </c>
      <c r="G50" s="7" t="str">
        <f ca="1">IFERROR(__xludf.DUMMYFUNCTION("AI(""Fill an appropriate value for this cell based on the table context"")"),"All icons should be displayed correctly with a brief description or supplemental information provided upon clicking.")</f>
        <v>All icons should be displayed correctly with a brief description or supplemental information provided upon clicking.</v>
      </c>
      <c r="H50" s="7" t="s">
        <v>199</v>
      </c>
      <c r="I50" s="7" t="s">
        <v>46</v>
      </c>
      <c r="J50" s="7"/>
      <c r="K50" s="7"/>
      <c r="L50" s="7"/>
      <c r="M50" s="7"/>
      <c r="N50" s="3"/>
    </row>
    <row r="51" spans="1:14" ht="105.6" x14ac:dyDescent="0.25">
      <c r="A51" s="18"/>
      <c r="B51" s="18"/>
      <c r="C51" s="7" t="s">
        <v>200</v>
      </c>
      <c r="D51" s="7" t="s">
        <v>201</v>
      </c>
      <c r="E51" s="4" t="s">
        <v>202</v>
      </c>
      <c r="F51" s="7" t="s">
        <v>20</v>
      </c>
      <c r="G51" s="7" t="str">
        <f ca="1">IFERROR(__xludf.DUMMYFUNCTION("AI(""Fill an appropriate value for this cell based on the table context"")"),"The search icon should successfully initiate a search and display relevant details.")</f>
        <v>The search icon should successfully initiate a search and display relevant details.</v>
      </c>
      <c r="H51" s="7" t="str">
        <f ca="1">IFERROR(__xludf.DUMMYFUNCTION("AI(""Fill an appropriate value for this cell based on the table context"")"),"The search icon is not searching for or displaying any details.")</f>
        <v>The search icon is not searching for or displaying any details.</v>
      </c>
      <c r="I51" s="7" t="s">
        <v>46</v>
      </c>
      <c r="J51" s="7"/>
      <c r="K51" s="7"/>
      <c r="L51" s="7"/>
      <c r="M51" s="7"/>
      <c r="N51" s="3"/>
    </row>
    <row r="52" spans="1:14" ht="105.6" x14ac:dyDescent="0.25">
      <c r="A52" s="18"/>
      <c r="B52" s="19"/>
      <c r="C52" s="7" t="s">
        <v>203</v>
      </c>
      <c r="D52" s="7" t="s">
        <v>204</v>
      </c>
      <c r="E52" s="4" t="s">
        <v>205</v>
      </c>
      <c r="F52" s="7" t="s">
        <v>20</v>
      </c>
      <c r="G52" s="7" t="str">
        <f ca="1">IFERROR(__xludf.DUMMYFUNCTION("AI(""Fill an appropriate value for this cell based on the table context"")"),"All text and course content should be clearly visible and accurately displayed in the SDC tab.")</f>
        <v>All text and course content should be clearly visible and accurately displayed in the SDC tab.</v>
      </c>
      <c r="H52" s="7" t="str">
        <f ca="1">IFERROR(__xludf.DUMMYFUNCTION("AI(""Fill an appropriate value for this cell based on the table context"")"),"All text and courses are clearly visible within the SDC tab.")</f>
        <v>All text and courses are clearly visible within the SDC tab.</v>
      </c>
      <c r="I52" s="7" t="s">
        <v>46</v>
      </c>
      <c r="J52" s="7"/>
      <c r="K52" s="7"/>
      <c r="L52" s="7"/>
      <c r="M52" s="10" t="s">
        <v>206</v>
      </c>
      <c r="N52" s="3"/>
    </row>
    <row r="53" spans="1:14" ht="92.4" x14ac:dyDescent="0.25">
      <c r="A53" s="18"/>
      <c r="B53" s="17" t="s">
        <v>207</v>
      </c>
      <c r="C53" s="7" t="s">
        <v>208</v>
      </c>
      <c r="D53" s="7" t="s">
        <v>209</v>
      </c>
      <c r="E53" s="4" t="s">
        <v>210</v>
      </c>
      <c r="F53" s="7" t="s">
        <v>20</v>
      </c>
      <c r="G53" s="7" t="str">
        <f ca="1">IFERROR(__xludf.DUMMYFUNCTION("AI(""Fill an appropriate value for this cell based on the table context"")"),"All advertisements should be clearly visible and accurately displayed.")</f>
        <v>All advertisements should be clearly visible and accurately displayed.</v>
      </c>
      <c r="H53" s="7" t="str">
        <f ca="1">IFERROR(__xludf.DUMMYFUNCTION("AI(""Fill an appropriate value for this cell based on the table context"")"),"All ads are clearly visible and correctly displayed in the ExPO tab.")</f>
        <v>All ads are clearly visible and correctly displayed in the ExPO tab.</v>
      </c>
      <c r="I53" s="7" t="s">
        <v>46</v>
      </c>
      <c r="J53" s="7"/>
      <c r="K53" s="7"/>
      <c r="L53" s="7"/>
      <c r="M53" s="7"/>
      <c r="N53" s="3"/>
    </row>
    <row r="54" spans="1:14" ht="184.8" x14ac:dyDescent="0.25">
      <c r="A54" s="18"/>
      <c r="B54" s="19"/>
      <c r="C54" s="7" t="s">
        <v>211</v>
      </c>
      <c r="D54" s="7" t="s">
        <v>197</v>
      </c>
      <c r="E54" s="4" t="s">
        <v>212</v>
      </c>
      <c r="F54" s="7" t="s">
        <v>20</v>
      </c>
      <c r="G54" s="7" t="str">
        <f ca="1">IFERROR(__xludf.DUMMYFUNCTION("AI(""Fill an appropriate value for this cell based on the table context"")"),"All information and details should be clearly visible and accurately displayed upon clicking the information icon.")</f>
        <v>All information and details should be clearly visible and accurately displayed upon clicking the information icon.</v>
      </c>
      <c r="H54" s="7" t="str">
        <f ca="1">IFERROR(__xludf.DUMMYFUNCTION("AI(""Fill an appropriate value for this cell based on the table context"")"),"The information icon is not displaying the expected information or details.")</f>
        <v>The information icon is not displaying the expected information or details.</v>
      </c>
      <c r="I54" s="8" t="s">
        <v>76</v>
      </c>
      <c r="J54" s="7" t="str">
        <f ca="1">IFERROR(__xludf.DUMMYFUNCTION("AI(""Fill an appropriate value for this cell based on the table context"")"),"Users are unable to access detailed information or context within the ExPO module, leading to a lack of clarity regarding displayed advertisements.")</f>
        <v>Users are unable to access detailed information or context within the ExPO module, leading to a lack of clarity regarding displayed advertisements.</v>
      </c>
      <c r="K54" s="7" t="s">
        <v>171</v>
      </c>
      <c r="L54" s="9" t="s">
        <v>213</v>
      </c>
      <c r="M54" s="7"/>
      <c r="N54" s="3"/>
    </row>
    <row r="55" spans="1:14" ht="171.6" x14ac:dyDescent="0.25">
      <c r="A55" s="18"/>
      <c r="B55" s="17" t="s">
        <v>214</v>
      </c>
      <c r="C55" s="7" t="s">
        <v>215</v>
      </c>
      <c r="D55" s="7" t="str">
        <f ca="1">IFERROR(__xludf.DUMMYFUNCTION("AI(""Fill an appropriate value for this cell based on the table context"")"),"Verify whether the changes made in Account Settings are successfully saved and reflected or not.")</f>
        <v>Verify whether the changes made in Account Settings are successfully saved and reflected or not.</v>
      </c>
      <c r="E55" s="4" t="s">
        <v>216</v>
      </c>
      <c r="F55" s="7" t="s">
        <v>20</v>
      </c>
      <c r="G55" s="7" t="str">
        <f ca="1">IFERROR(__xludf.DUMMYFUNCTION("AI(""Fill an appropriate value for this cell based on the table context"")"),"Changes should be successfully saved and correctly reflected in the account settings.")</f>
        <v>Changes should be successfully saved and correctly reflected in the account settings.</v>
      </c>
      <c r="H55" s="7" t="s">
        <v>217</v>
      </c>
      <c r="I55" s="8" t="s">
        <v>76</v>
      </c>
      <c r="J55" s="7" t="str">
        <f ca="1">IFERROR(__xludf.DUMMYFUNCTION("AI(""Fill an appropriate value for this cell based on the table context"")"),"Users may become frustrated and lose trust in the application as their account updates are not saved, leading to a poor user experience.")</f>
        <v>Users may become frustrated and lose trust in the application as their account updates are not saved, leading to a poor user experience.</v>
      </c>
      <c r="K55" s="7" t="str">
        <f ca="1">IFERROR(__xludf.DUMMYFUNCTION("AI(""Fill an appropriate value for this cell based on the table context"")"),"High")</f>
        <v>High</v>
      </c>
      <c r="L55" s="12" t="s">
        <v>218</v>
      </c>
      <c r="M55" s="7"/>
      <c r="N55" s="3"/>
    </row>
    <row r="56" spans="1:14" ht="118.8" x14ac:dyDescent="0.25">
      <c r="A56" s="18"/>
      <c r="B56" s="18"/>
      <c r="C56" s="7" t="s">
        <v>219</v>
      </c>
      <c r="D56" s="7" t="s">
        <v>220</v>
      </c>
      <c r="E56" s="4" t="s">
        <v>221</v>
      </c>
      <c r="F56" s="7" t="s">
        <v>20</v>
      </c>
      <c r="G56" s="7" t="str">
        <f ca="1">IFERROR(__xludf.DUMMYFUNCTION("AI(""Fill an appropriate value for this cell based on the table context"")"),"The password should be updated successfully and a confirmation message should be displayed.")</f>
        <v>The password should be updated successfully and a confirmation message should be displayed.</v>
      </c>
      <c r="H56" s="7" t="str">
        <f ca="1">IFERROR(__xludf.DUMMYFUNCTION("AI(""Fill an appropriate value for this cell based on the table context"")"),"Password is successfully updated and reflects the changes upon login.")</f>
        <v>Password is successfully updated and reflects the changes upon login.</v>
      </c>
      <c r="I56" s="7" t="s">
        <v>46</v>
      </c>
      <c r="J56" s="7"/>
      <c r="K56" s="7"/>
      <c r="L56" s="7"/>
      <c r="M56" s="7"/>
      <c r="N56" s="3"/>
    </row>
    <row r="57" spans="1:14" ht="105.6" x14ac:dyDescent="0.25">
      <c r="A57" s="18"/>
      <c r="B57" s="19"/>
      <c r="C57" s="7" t="s">
        <v>222</v>
      </c>
      <c r="D57" s="7" t="s">
        <v>223</v>
      </c>
      <c r="E57" s="4" t="s">
        <v>224</v>
      </c>
      <c r="F57" s="7" t="s">
        <v>20</v>
      </c>
      <c r="G57" s="7" t="str">
        <f ca="1">IFERROR(__xludf.DUMMYFUNCTION("AI(""Fill an appropriate value for this cell based on the table context"")"),"All jobs applied by the user should be accurately listed and visible in the Job Applied section.")</f>
        <v>All jobs applied by the user should be accurately listed and visible in the Job Applied section.</v>
      </c>
      <c r="H57" s="7" t="str">
        <f ca="1">IFERROR(__xludf.DUMMYFUNCTION("AI(""Fill an appropriate value for this cell based on the table context"")"),"All applied jobs are listed correctly.")</f>
        <v>All applied jobs are listed correctly.</v>
      </c>
      <c r="I57" s="7" t="s">
        <v>46</v>
      </c>
      <c r="J57" s="7"/>
      <c r="K57" s="7"/>
      <c r="L57" s="7"/>
      <c r="M57" s="7"/>
      <c r="N57" s="3"/>
    </row>
    <row r="58" spans="1:14" ht="145.19999999999999" x14ac:dyDescent="0.25">
      <c r="A58" s="18"/>
      <c r="B58" s="17" t="s">
        <v>225</v>
      </c>
      <c r="C58" s="7" t="s">
        <v>226</v>
      </c>
      <c r="D58" s="7" t="s">
        <v>227</v>
      </c>
      <c r="E58" s="7" t="str">
        <f ca="1">IFERROR(__xludf.DUMMYFUNCTION("AI(""Fill an appropriate value for this cell based on the table context"")"),"1.  Click on the Login Page
2.  Click on the Login Button
3.  Click on Settings tab
4.  Click on the Favourite Job tab")</f>
        <v>1.  Click on the Login Page
2.  Click on the Login Button
3.  Click on Settings tab
4.  Click on the Favourite Job tab</v>
      </c>
      <c r="F58" s="7" t="s">
        <v>20</v>
      </c>
      <c r="G58" s="7" t="str">
        <f ca="1">IFERROR(__xludf.DUMMYFUNCTION("AI(""Fill an appropriate value for this cell based on the table context"")"),"The favorite job tab should correctly list all jobs marked as favorites by the user.")</f>
        <v>The favorite job tab should correctly list all jobs marked as favorites by the user.</v>
      </c>
      <c r="H58" s="7" t="str">
        <f ca="1">IFERROR(__xludf.DUMMYFUNCTION("AI(""Fill an appropriate value for this cell based on the table context"")"),"The favorite job tab correctly lists all jobs marked as favorites.")</f>
        <v>The favorite job tab correctly lists all jobs marked as favorites.</v>
      </c>
      <c r="I58" s="7" t="s">
        <v>46</v>
      </c>
      <c r="J58" s="7"/>
      <c r="K58" s="7"/>
      <c r="L58" s="7"/>
      <c r="M58" s="7"/>
      <c r="N58" s="3"/>
    </row>
    <row r="59" spans="1:14" ht="145.19999999999999" x14ac:dyDescent="0.25">
      <c r="A59" s="18"/>
      <c r="B59" s="18"/>
      <c r="C59" s="7" t="s">
        <v>228</v>
      </c>
      <c r="D59" s="7" t="str">
        <f ca="1">IFERROR(__xludf.DUMMYFUNCTION("AI(""Fill an appropriate value for this cell based on the table context"")"),"Verify whether the SDC Favourite tab correctly lists all jobs or items marked as favorites by the user.")</f>
        <v>Verify whether the SDC Favourite tab correctly lists all jobs or items marked as favorites by the user.</v>
      </c>
      <c r="E59" s="7" t="str">
        <f ca="1">IFERROR(__xludf.DUMMYFUNCTION("AI(""Fill an appropriate value for this cell based on the table context"")"),"1.  Click on the Login Page
2.  Click on the Login Button
3.  Click on SDC tab
4.  Click on SDC Favourite tab")</f>
        <v>1.  Click on the Login Page
2.  Click on the Login Button
3.  Click on SDC tab
4.  Click on SDC Favourite tab</v>
      </c>
      <c r="F59" s="7" t="s">
        <v>20</v>
      </c>
      <c r="G59" s="7" t="str">
        <f ca="1">IFERROR(__xludf.DUMMYFUNCTION("AI(""Fill an appropriate value for this cell based on the table context"")"),"The SDC favorite tab should correctly list all items or courses marked as favorites by the user.")</f>
        <v>The SDC favorite tab should correctly list all items or courses marked as favorites by the user.</v>
      </c>
      <c r="H59" s="7" t="str">
        <f ca="1">IFERROR(__xludf.DUMMYFUNCTION("AI(""Fill an appropriate value for this cell based on the table context"")"),"The SDC Favourite tab successfully lists all items marked as favorites by the user.")</f>
        <v>The SDC Favourite tab successfully lists all items marked as favorites by the user.</v>
      </c>
      <c r="I59" s="7" t="s">
        <v>23</v>
      </c>
      <c r="J59" s="7"/>
      <c r="K59" s="7"/>
      <c r="L59" s="7"/>
      <c r="M59" s="7"/>
      <c r="N59" s="3"/>
    </row>
    <row r="60" spans="1:14" ht="145.19999999999999" x14ac:dyDescent="0.25">
      <c r="A60" s="18"/>
      <c r="B60" s="19"/>
      <c r="C60" s="7" t="s">
        <v>229</v>
      </c>
      <c r="D60" s="7" t="s">
        <v>230</v>
      </c>
      <c r="E60" s="7" t="str">
        <f ca="1">IFERROR(__xludf.DUMMYFUNCTION("AI(""Fill an appropriate value for this cell based on the table context"")"),"1.  Click on the Login Page
2.  Click on the Login Button
3.  Click on Settings tab
4.  Click on the Payment History tab")</f>
        <v>1.  Click on the Login Page
2.  Click on the Login Button
3.  Click on Settings tab
4.  Click on the Payment History tab</v>
      </c>
      <c r="F60" s="7" t="s">
        <v>20</v>
      </c>
      <c r="G60" s="7" t="str">
        <f ca="1">IFERROR(__xludf.DUMMYFUNCTION("AI(""Fill an appropriate value for this cell based on the table context"")"),"The payment history should correctly list all past transactions and payment details.")</f>
        <v>The payment history should correctly list all past transactions and payment details.</v>
      </c>
      <c r="H60" s="7" t="str">
        <f ca="1">IFERROR(__xludf.DUMMYFUNCTION("AI(""Fill an appropriate value for this cell based on the table context"")"),"Payment history is displayed correctly and shows all transactions.")</f>
        <v>Payment history is displayed correctly and shows all transactions.</v>
      </c>
      <c r="I60" s="7" t="s">
        <v>46</v>
      </c>
      <c r="J60" s="7"/>
      <c r="K60" s="7"/>
      <c r="L60" s="7"/>
      <c r="M60" s="7"/>
      <c r="N60" s="3"/>
    </row>
    <row r="61" spans="1:14" ht="145.19999999999999" x14ac:dyDescent="0.25">
      <c r="A61" s="18"/>
      <c r="B61" s="17" t="s">
        <v>231</v>
      </c>
      <c r="C61" s="7" t="s">
        <v>232</v>
      </c>
      <c r="D61" s="7" t="s">
        <v>233</v>
      </c>
      <c r="E61" s="7" t="str">
        <f ca="1">IFERROR(__xludf.DUMMYFUNCTION("AI(""Fill an appropriate value for this cell based on the table context"")"),"1.  Click on the Login Page
2.  Click on the Login Button
3.  Click on Settings tab
4.  Click on the Support &amp; Legal tab")</f>
        <v>1.  Click on the Login Page
2.  Click on the Login Button
3.  Click on Settings tab
4.  Click on the Support &amp; Legal tab</v>
      </c>
      <c r="F61" s="7" t="s">
        <v>20</v>
      </c>
      <c r="G61" s="7" t="s">
        <v>234</v>
      </c>
      <c r="H61" s="7" t="s">
        <v>235</v>
      </c>
      <c r="I61" s="7" t="s">
        <v>46</v>
      </c>
      <c r="J61" s="7"/>
      <c r="K61" s="7"/>
      <c r="L61" s="9" t="s">
        <v>236</v>
      </c>
      <c r="M61" s="10" t="s">
        <v>237</v>
      </c>
      <c r="N61" s="3"/>
    </row>
    <row r="62" spans="1:14" ht="145.19999999999999" x14ac:dyDescent="0.25">
      <c r="A62" s="18"/>
      <c r="B62" s="18"/>
      <c r="C62" s="7" t="s">
        <v>238</v>
      </c>
      <c r="D62" s="7" t="s">
        <v>239</v>
      </c>
      <c r="E62" s="7" t="s">
        <v>240</v>
      </c>
      <c r="F62" s="7" t="s">
        <v>20</v>
      </c>
      <c r="G62" s="7" t="str">
        <f ca="1">IFERROR(__xludf.DUMMYFUNCTION("AI(""Fill an appropriate value for this cell based on the table context"")"),"All text in the Terms and Conditions section should be clearly visible and accurately displayed.")</f>
        <v>All text in the Terms and Conditions section should be clearly visible and accurately displayed.</v>
      </c>
      <c r="H62" s="7" t="s">
        <v>241</v>
      </c>
      <c r="I62" s="8" t="s">
        <v>76</v>
      </c>
      <c r="J62" s="7"/>
      <c r="K62" s="7"/>
      <c r="L62" s="7"/>
      <c r="M62" s="7"/>
      <c r="N62" s="3"/>
    </row>
    <row r="63" spans="1:14" ht="145.19999999999999" x14ac:dyDescent="0.25">
      <c r="A63" s="18"/>
      <c r="B63" s="18"/>
      <c r="C63" s="7" t="s">
        <v>242</v>
      </c>
      <c r="D63" s="7" t="s">
        <v>243</v>
      </c>
      <c r="E63" s="7" t="s">
        <v>244</v>
      </c>
      <c r="F63" s="7" t="s">
        <v>20</v>
      </c>
      <c r="G63" s="7" t="str">
        <f ca="1">IFERROR(__xludf.DUMMYFUNCTION("AI(""Fill an appropriate value for this cell based on the table context"")"),"All text in the Privacy Policy section should be clearly visible and accurately displayed.")</f>
        <v>All text in the Privacy Policy section should be clearly visible and accurately displayed.</v>
      </c>
      <c r="H63" s="7" t="s">
        <v>241</v>
      </c>
      <c r="I63" s="8" t="s">
        <v>76</v>
      </c>
      <c r="J63" s="7"/>
      <c r="K63" s="7"/>
      <c r="L63" s="7"/>
      <c r="M63" s="7"/>
      <c r="N63" s="3"/>
    </row>
    <row r="64" spans="1:14" ht="158.4" x14ac:dyDescent="0.25">
      <c r="A64" s="18"/>
      <c r="B64" s="18"/>
      <c r="C64" s="7" t="s">
        <v>245</v>
      </c>
      <c r="D64" s="7" t="s">
        <v>246</v>
      </c>
      <c r="E64" s="7" t="s">
        <v>247</v>
      </c>
      <c r="F64" s="7" t="s">
        <v>20</v>
      </c>
      <c r="G64" s="7" t="str">
        <f ca="1">IFERROR(__xludf.DUMMYFUNCTION("AI(""Fill an appropriate value for this cell based on the table context"")"),"Name field should only allow alphabetical character and not accept numeric values.")</f>
        <v>Name field should only allow alphabetical character and not accept numeric values.</v>
      </c>
      <c r="H64" s="7" t="str">
        <f ca="1">IFERROR(__xludf.DUMMYFUNCTION("AI(""Fill an appropriate value for this cell based on the table context"")"),"The name field is accepting numeric values.")</f>
        <v>The name field is accepting numeric values.</v>
      </c>
      <c r="I64" s="8" t="s">
        <v>76</v>
      </c>
      <c r="J64" s="7" t="str">
        <f ca="1">IFERROR(__xludf.DUMMYFUNCTION("AI(""Fill an appropriate value for this cell based on the table context"")"),"The Name field allows numeric input, which may lead to incorrect user data and affects the integrity of official grievance records.")</f>
        <v>The Name field allows numeric input, which may lead to incorrect user data and affects the integrity of official grievance records.</v>
      </c>
      <c r="K64" s="7" t="str">
        <f ca="1">IFERROR(__xludf.DUMMYFUNCTION("AI(""Fill an appropriate value for this cell based on the table context"")"),"Medium")</f>
        <v>Medium</v>
      </c>
      <c r="L64" s="7"/>
      <c r="M64" s="10" t="s">
        <v>248</v>
      </c>
      <c r="N64" s="3"/>
    </row>
    <row r="65" spans="1:14" ht="184.8" x14ac:dyDescent="0.25">
      <c r="A65" s="18"/>
      <c r="B65" s="18"/>
      <c r="C65" s="7" t="s">
        <v>249</v>
      </c>
      <c r="D65" s="7" t="s">
        <v>250</v>
      </c>
      <c r="E65" s="7" t="str">
        <f ca="1">IFERROR(__xludf.DUMMYFUNCTION("AI(""Fill an appropriate value for this cell based on the table context"")"),"1.  Click on the Login Page
2.  Click on the Login Button
3.  Click on Settings tab
4.  Click on the Grievance Center
5.  Click on Send OTP button")</f>
        <v>1.  Click on the Login Page
2.  Click on the Login Button
3.  Click on Settings tab
4.  Click on the Grievance Center
5.  Click on Send OTP button</v>
      </c>
      <c r="F65" s="7" t="s">
        <v>20</v>
      </c>
      <c r="G65" s="7" t="str">
        <f ca="1">IFERROR(__xludf.DUMMYFUNCTION("AI(""Fill an appropriate value for this cell based on the table context"")"),"The user should receive a one-time password (OTP) via their registered mobile number or email, and a confirmation message should be displayed.")</f>
        <v>The user should receive a one-time password (OTP) via their registered mobile number or email, and a confirmation message should be displayed.</v>
      </c>
      <c r="H65" s="7" t="str">
        <f ca="1">IFERROR(__xludf.DUMMYFUNCTION("AI(""Fill an appropriate value for this cell based on the table context"")"),"The OTP is not received on the registered mobile number or email.")</f>
        <v>The OTP is not received on the registered mobile number or email.</v>
      </c>
      <c r="I65" s="8" t="s">
        <v>76</v>
      </c>
      <c r="J65" s="7" t="str">
        <f ca="1">IFERROR(__xludf.DUMMYFUNCTION("AI(""Fill an appropriate value for this cell based on the table context"")"),"Users are unable to file or track grievances as they cannot verify their identity, leading to unresolved issues and loss of trust in the support system.")</f>
        <v>Users are unable to file or track grievances as they cannot verify their identity, leading to unresolved issues and loss of trust in the support system.</v>
      </c>
      <c r="K65" s="7" t="str">
        <f ca="1">IFERROR(__xludf.DUMMYFUNCTION("AI(""Fill an appropriate value for this cell based on the table context"")"),"High")</f>
        <v>High</v>
      </c>
      <c r="L65" s="7"/>
      <c r="M65" s="7"/>
      <c r="N65" s="3"/>
    </row>
    <row r="66" spans="1:14" ht="145.19999999999999" x14ac:dyDescent="0.25">
      <c r="A66" s="18"/>
      <c r="B66" s="18"/>
      <c r="C66" s="7" t="s">
        <v>251</v>
      </c>
      <c r="D66" s="7" t="s">
        <v>252</v>
      </c>
      <c r="E66" s="7" t="s">
        <v>253</v>
      </c>
      <c r="F66" s="7" t="s">
        <v>20</v>
      </c>
      <c r="G66" s="7" t="s">
        <v>254</v>
      </c>
      <c r="H66" s="7" t="str">
        <f ca="1">IFERROR(__xludf.DUMMYFUNCTION("AI(""Fill an appropriate value for this cell based on the table context"")"),"The Refund Policy section is empty.")</f>
        <v>The Refund Policy section is empty.</v>
      </c>
      <c r="I66" s="7" t="s">
        <v>46</v>
      </c>
      <c r="J66" s="7"/>
      <c r="K66" s="7"/>
      <c r="L66" s="7"/>
      <c r="M66" s="7"/>
      <c r="N66" s="3"/>
    </row>
    <row r="67" spans="1:14" ht="145.19999999999999" x14ac:dyDescent="0.25">
      <c r="A67" s="18"/>
      <c r="B67" s="18"/>
      <c r="C67" s="7" t="s">
        <v>255</v>
      </c>
      <c r="D67" s="7" t="s">
        <v>256</v>
      </c>
      <c r="E67" s="7" t="str">
        <f ca="1">IFERROR(__xludf.DUMMYFUNCTION("AI(""Fill an appropriate value for this cell based on the table context"")"),"1.  Click on the Login Page
2.  Click on the Login Button
3.  Click on Settings tab
4.  Click on the Sales Team tab")</f>
        <v>1.  Click on the Login Page
2.  Click on the Login Button
3.  Click on Settings tab
4.  Click on the Sales Team tab</v>
      </c>
      <c r="F67" s="7" t="s">
        <v>20</v>
      </c>
      <c r="G67" s="7" t="str">
        <f ca="1">IFERROR(__xludf.DUMMYFUNCTION("AI(""Fill an appropriate value for this cell based on the table context"")"),"All contact details, including name, phone number, and email, for the sales team should be clearly visible and accurate.")</f>
        <v>All contact details, including name, phone number, and email, for the sales team should be clearly visible and accurate.</v>
      </c>
      <c r="H67" s="7" t="str">
        <f ca="1">IFERROR(__xludf.DUMMYFUNCTION("AI(""Fill an appropriate value for this cell based on the table context"")"),"Sales team information is clearly visible and accurate.")</f>
        <v>Sales team information is clearly visible and accurate.</v>
      </c>
      <c r="I67" s="7" t="s">
        <v>46</v>
      </c>
      <c r="J67" s="7"/>
      <c r="K67" s="7"/>
      <c r="L67" s="7"/>
      <c r="M67" s="7"/>
      <c r="N67" s="3"/>
    </row>
    <row r="68" spans="1:14" ht="198" x14ac:dyDescent="0.25">
      <c r="A68" s="18"/>
      <c r="B68" s="19"/>
      <c r="C68" s="7" t="s">
        <v>257</v>
      </c>
      <c r="D68" s="7" t="s">
        <v>258</v>
      </c>
      <c r="E68" s="7" t="s">
        <v>259</v>
      </c>
      <c r="F68" s="7" t="s">
        <v>20</v>
      </c>
      <c r="G68" s="7" t="str">
        <f ca="1">IFERROR(__xludf.DUMMYFUNCTION("AI(""Fill an appropriate value for this cell based on the table context"")"),"The theme should change between light and dark modes successfully upon user selection.")</f>
        <v>The theme should change between light and dark modes successfully upon user selection.</v>
      </c>
      <c r="H68" s="7" t="str">
        <f ca="1">IFERROR(__xludf.DUMMYFUNCTION("AI(""Fill an appropriate value for this cell based on the table context"")"),"The theme changes successfully between light and dark modes upon user selection.")</f>
        <v>The theme changes successfully between light and dark modes upon user selection.</v>
      </c>
      <c r="I68" s="7" t="s">
        <v>46</v>
      </c>
      <c r="J68" s="7"/>
      <c r="K68" s="7"/>
      <c r="L68" s="7"/>
      <c r="M68" s="7"/>
      <c r="N68" s="3"/>
    </row>
    <row r="69" spans="1:14" ht="145.19999999999999" x14ac:dyDescent="0.25">
      <c r="A69" s="18"/>
      <c r="B69" s="7" t="s">
        <v>260</v>
      </c>
      <c r="C69" s="7" t="s">
        <v>261</v>
      </c>
      <c r="D69" s="7" t="s">
        <v>262</v>
      </c>
      <c r="E69" s="7" t="s">
        <v>263</v>
      </c>
      <c r="F69" s="7" t="s">
        <v>20</v>
      </c>
      <c r="G69" s="7" t="s">
        <v>264</v>
      </c>
      <c r="H69" s="7" t="s">
        <v>265</v>
      </c>
      <c r="I69" s="8" t="s">
        <v>266</v>
      </c>
      <c r="J69" s="7" t="str">
        <f ca="1">IFERROR(__xludf.DUMMYFUNCTION("AI(""Fill an appropriate value for this cell based on the table context"")"),"Users may miss critical updates or alerts, leading to a lack of real-time awareness and delayed responses to important events.")</f>
        <v>Users may miss critical updates or alerts, leading to a lack of real-time awareness and delayed responses to important events.</v>
      </c>
      <c r="K69" s="7" t="str">
        <f ca="1">IFERROR(__xludf.DUMMYFUNCTION("AI(""Fill an appropriate value for this cell based on the table context"")"),"Medium to High")</f>
        <v>Medium to High</v>
      </c>
      <c r="L69" s="9" t="s">
        <v>267</v>
      </c>
      <c r="M69" s="7"/>
      <c r="N69" s="3"/>
    </row>
    <row r="70" spans="1:14" ht="105.6" x14ac:dyDescent="0.25">
      <c r="A70" s="19"/>
      <c r="B70" s="7" t="s">
        <v>268</v>
      </c>
      <c r="C70" s="7" t="s">
        <v>269</v>
      </c>
      <c r="D70" s="7" t="str">
        <f ca="1">IFERROR(__xludf.DUMMYFUNCTION("AI(""Fill an appropriate value for this cell based on the table context"")"),"Verify whether the user is able to log out of the application successfully or not")</f>
        <v>Verify whether the user is able to log out of the application successfully or not</v>
      </c>
      <c r="E70" s="7" t="s">
        <v>270</v>
      </c>
      <c r="F70" s="7" t="s">
        <v>20</v>
      </c>
      <c r="G70" s="7" t="str">
        <f ca="1">IFERROR(__xludf.DUMMYFUNCTION("AI(""Fill an appropriate value for this cell based on the table context"")"),"User should be successfully logged out and redirected to the login page.")</f>
        <v>User should be successfully logged out and redirected to the login page.</v>
      </c>
      <c r="H70" s="7" t="str">
        <f ca="1">IFERROR(__xludf.DUMMYFUNCTION("AI(""Fill an appropriate value for this cell based on the table context"")"),"User is successfully logged out and redirected to the login page.")</f>
        <v>User is successfully logged out and redirected to the login page.</v>
      </c>
      <c r="I70" s="7" t="s">
        <v>46</v>
      </c>
      <c r="J70" s="7"/>
      <c r="K70" s="7"/>
      <c r="L70" s="7"/>
      <c r="M70" s="10" t="s">
        <v>271</v>
      </c>
      <c r="N70" s="3"/>
    </row>
    <row r="71" spans="1:14" ht="92.4" x14ac:dyDescent="0.25">
      <c r="A71" s="17" t="s">
        <v>272</v>
      </c>
      <c r="B71" s="17" t="s">
        <v>48</v>
      </c>
      <c r="C71" s="7" t="s">
        <v>273</v>
      </c>
      <c r="D71" s="7" t="s">
        <v>50</v>
      </c>
      <c r="E71" s="4" t="s">
        <v>51</v>
      </c>
      <c r="F71" s="7" t="s">
        <v>20</v>
      </c>
      <c r="G71" s="7" t="s">
        <v>52</v>
      </c>
      <c r="H71" s="7" t="s">
        <v>53</v>
      </c>
      <c r="I71" s="7" t="s">
        <v>46</v>
      </c>
      <c r="J71" s="7"/>
      <c r="K71" s="7"/>
      <c r="L71" s="7"/>
      <c r="M71" s="7"/>
      <c r="N71" s="3"/>
    </row>
    <row r="72" spans="1:14" ht="105.6" x14ac:dyDescent="0.25">
      <c r="A72" s="18"/>
      <c r="B72" s="18"/>
      <c r="C72" s="7" t="s">
        <v>274</v>
      </c>
      <c r="D72" s="7" t="s">
        <v>55</v>
      </c>
      <c r="E72" s="4" t="s">
        <v>51</v>
      </c>
      <c r="F72" s="7" t="s">
        <v>20</v>
      </c>
      <c r="G72" s="7" t="s">
        <v>56</v>
      </c>
      <c r="H72" s="7" t="s">
        <v>57</v>
      </c>
      <c r="I72" s="7" t="s">
        <v>46</v>
      </c>
      <c r="J72" s="7"/>
      <c r="K72" s="7"/>
      <c r="L72" s="7"/>
      <c r="M72" s="7"/>
      <c r="N72" s="3"/>
    </row>
    <row r="73" spans="1:14" ht="79.2" x14ac:dyDescent="0.25">
      <c r="A73" s="18"/>
      <c r="B73" s="18"/>
      <c r="C73" s="7" t="s">
        <v>275</v>
      </c>
      <c r="D73" s="7" t="s">
        <v>276</v>
      </c>
      <c r="E73" s="4" t="s">
        <v>51</v>
      </c>
      <c r="F73" s="7" t="s">
        <v>277</v>
      </c>
      <c r="G73" s="7" t="str">
        <f ca="1">IFERROR(__xludf.DUMMYFUNCTION("AI(""Fill an appropriate value for this cell based on the table context"")"),"Company name field should accept alphanumeric characters and spaces.")</f>
        <v>Company name field should accept alphanumeric characters and spaces.</v>
      </c>
      <c r="H73" s="7" t="str">
        <f ca="1">IFERROR(__xludf.DUMMYFUNCTION("AI(""Fill an appropriate value for this cell based on the table context"")"),"Company name is taking alphanumeric characters and spaces successfully")</f>
        <v>Company name is taking alphanumeric characters and spaces successfully</v>
      </c>
      <c r="I73" s="7" t="s">
        <v>46</v>
      </c>
      <c r="J73" s="7"/>
      <c r="K73" s="7"/>
      <c r="L73" s="7"/>
      <c r="M73" s="7"/>
      <c r="N73" s="3"/>
    </row>
    <row r="74" spans="1:14" ht="145.19999999999999" x14ac:dyDescent="0.25">
      <c r="A74" s="18"/>
      <c r="B74" s="18"/>
      <c r="C74" s="7" t="s">
        <v>278</v>
      </c>
      <c r="D74" s="7" t="s">
        <v>64</v>
      </c>
      <c r="E74" s="4" t="s">
        <v>51</v>
      </c>
      <c r="F74" s="7" t="s">
        <v>279</v>
      </c>
      <c r="G74" s="7" t="s">
        <v>66</v>
      </c>
      <c r="H74" s="7" t="str">
        <f ca="1">IFERROR(__xludf.DUMMYFUNCTION("AI(""Fill an appropriate value for this cell based on the table context"")"),"Email is not validated before moving ahead")</f>
        <v>Email is not validated before moving ahead</v>
      </c>
      <c r="I74" s="8" t="s">
        <v>76</v>
      </c>
      <c r="J74" s="7" t="str">
        <f ca="1">IFERROR(__xludf.DUMMYFUNCTION("AI(""Fill an appropriate value for this cell based on the table context"")"),"Users cannot proceed with registration using an invalid email, potentially causing friction and loss of prospective recruiters.")</f>
        <v>Users cannot proceed with registration using an invalid email, potentially causing friction and loss of prospective recruiters.</v>
      </c>
      <c r="K74" s="7" t="str">
        <f ca="1">IFERROR(__xludf.DUMMYFUNCTION("AI(""Fill an appropriate value for this cell based on the table context"")"),"High")</f>
        <v>High</v>
      </c>
      <c r="L74" s="16" t="s">
        <v>280</v>
      </c>
      <c r="M74" s="7"/>
      <c r="N74" s="3" t="s">
        <v>79</v>
      </c>
    </row>
    <row r="75" spans="1:14" ht="132" x14ac:dyDescent="0.25">
      <c r="A75" s="18"/>
      <c r="B75" s="18"/>
      <c r="C75" s="7" t="s">
        <v>281</v>
      </c>
      <c r="D75" s="7" t="s">
        <v>68</v>
      </c>
      <c r="E75" s="4" t="s">
        <v>51</v>
      </c>
      <c r="F75" s="7">
        <v>9265721530</v>
      </c>
      <c r="G75" s="7" t="s">
        <v>69</v>
      </c>
      <c r="H75" s="7" t="str">
        <f ca="1">IFERROR(__xludf.DUMMYFUNCTION("AI(""Fill an appropriate value for this cell based on the table context"")"),"Phone number accepts 10 digits and numeric value only")</f>
        <v>Phone number accepts 10 digits and numeric value only</v>
      </c>
      <c r="I75" s="7" t="s">
        <v>46</v>
      </c>
      <c r="J75" s="7"/>
      <c r="K75" s="7"/>
      <c r="L75" s="7"/>
      <c r="M75" s="7"/>
      <c r="N75" s="3"/>
    </row>
    <row r="76" spans="1:14" ht="105.6" x14ac:dyDescent="0.25">
      <c r="A76" s="18"/>
      <c r="B76" s="18"/>
      <c r="C76" s="7" t="s">
        <v>282</v>
      </c>
      <c r="D76" s="7" t="s">
        <v>71</v>
      </c>
      <c r="E76" s="4" t="s">
        <v>51</v>
      </c>
      <c r="F76" s="7" t="s">
        <v>72</v>
      </c>
      <c r="G76" s="7" t="str">
        <f ca="1">IFERROR(__xludf.DUMMYFUNCTION("AI(""Fill an appropriate value for this cell based on the table context"")"),"Password should be validated for strength based on complexity and length requirements")</f>
        <v>Password should be validated for strength based on complexity and length requirements</v>
      </c>
      <c r="H76" s="7" t="str">
        <f ca="1">IFERROR(__xludf.DUMMYFUNCTION("AI(""Fill an appropriate value for this cell based on the table context"")"),"Password is validated for strength based on complexity and length requirements")</f>
        <v>Password is validated for strength based on complexity and length requirements</v>
      </c>
      <c r="I76" s="7" t="s">
        <v>46</v>
      </c>
      <c r="J76" s="7"/>
      <c r="K76" s="7"/>
      <c r="L76" s="7"/>
      <c r="M76" s="7"/>
      <c r="N76" s="3"/>
    </row>
    <row r="77" spans="1:14" ht="118.8" x14ac:dyDescent="0.25">
      <c r="A77" s="18"/>
      <c r="B77" s="18"/>
      <c r="C77" s="7" t="s">
        <v>283</v>
      </c>
      <c r="D77" s="7" t="s">
        <v>284</v>
      </c>
      <c r="E77" s="4" t="s">
        <v>51</v>
      </c>
      <c r="F77" s="7" t="s">
        <v>20</v>
      </c>
      <c r="G77" s="7" t="str">
        <f ca="1">IFERROR(__xludf.DUMMYFUNCTION("AI(""Fill an appropriate value for this cell based on the table context"")"),"User should be able to select Manufacturing Company or Recruitment Agency from the dropdown.")</f>
        <v>User should be able to select Manufacturing Company or Recruitment Agency from the dropdown.</v>
      </c>
      <c r="H77" s="7" t="s">
        <v>285</v>
      </c>
      <c r="I77" s="8" t="s">
        <v>76</v>
      </c>
      <c r="J77" s="7"/>
      <c r="K77" s="7"/>
      <c r="L77" s="9" t="s">
        <v>286</v>
      </c>
      <c r="M77" s="10" t="s">
        <v>78</v>
      </c>
      <c r="N77" s="3" t="s">
        <v>79</v>
      </c>
    </row>
    <row r="78" spans="1:14" ht="158.4" x14ac:dyDescent="0.25">
      <c r="A78" s="18"/>
      <c r="B78" s="18"/>
      <c r="C78" s="7" t="s">
        <v>287</v>
      </c>
      <c r="D78" s="7" t="s">
        <v>288</v>
      </c>
      <c r="E78" s="4" t="s">
        <v>51</v>
      </c>
      <c r="F78" s="7" t="s">
        <v>20</v>
      </c>
      <c r="G78" s="7" t="str">
        <f ca="1">IFERROR(__xludf.DUMMYFUNCTION("AI(""Fill an appropriate value for this cell based on the table context"")"),"Location field should only allow alphabetical characters and spaces.")</f>
        <v>Location field should only allow alphabetical characters and spaces.</v>
      </c>
      <c r="H78" s="7" t="str">
        <f ca="1">IFERROR(__xludf.DUMMYFUNCTION("AI(""Fill an appropriate value for this cell based on the table context"")"),"The Location field is accepting numeric or non-alphabetical characters.")</f>
        <v>The Location field is accepting numeric or non-alphabetical characters.</v>
      </c>
      <c r="I78" s="8" t="s">
        <v>76</v>
      </c>
      <c r="J78" s="7" t="str">
        <f ca="1">IFERROR(__xludf.DUMMYFUNCTION("AI(""Fill an appropriate value for this cell based on the table context"")"),"Users may enter incorrect location data, leading to inaccurate recruiter searches and potential issues with job matching and logistics.")</f>
        <v>Users may enter incorrect location data, leading to inaccurate recruiter searches and potential issues with job matching and logistics.</v>
      </c>
      <c r="K78" s="7" t="s">
        <v>178</v>
      </c>
      <c r="L78" s="9" t="s">
        <v>289</v>
      </c>
      <c r="M78" s="7"/>
      <c r="N78" s="3" t="s">
        <v>79</v>
      </c>
    </row>
    <row r="79" spans="1:14" ht="105.6" x14ac:dyDescent="0.25">
      <c r="A79" s="18"/>
      <c r="B79" s="19"/>
      <c r="C79" s="7" t="s">
        <v>290</v>
      </c>
      <c r="D79" s="7" t="s">
        <v>81</v>
      </c>
      <c r="E79" s="4" t="s">
        <v>82</v>
      </c>
      <c r="F79" s="7" t="s">
        <v>20</v>
      </c>
      <c r="G79" s="7" t="str">
        <f ca="1">IFERROR(__xludf.DUMMYFUNCTION("AI(""Fill an appropriate value for this cell based on the table context"")"),"All details should be submitted successfully and the user should be redirected to the next page.")</f>
        <v>All details should be submitted successfully and the user should be redirected to the next page.</v>
      </c>
      <c r="H79" s="7" t="str">
        <f ca="1">IFERROR(__xludf.DUMMYFUNCTION("AI(""Fill an appropriate value for this cell based on the table context"")"),"All details are submitted successfully and user is redirected to the next page")</f>
        <v>All details are submitted successfully and user is redirected to the next page</v>
      </c>
      <c r="I79" s="7" t="s">
        <v>46</v>
      </c>
      <c r="J79" s="7"/>
      <c r="K79" s="7"/>
      <c r="L79" s="7"/>
      <c r="M79" s="10" t="s">
        <v>83</v>
      </c>
      <c r="N79" s="3" t="s">
        <v>79</v>
      </c>
    </row>
    <row r="80" spans="1:14" ht="237.6" x14ac:dyDescent="0.25">
      <c r="A80" s="18"/>
      <c r="B80" s="17" t="s">
        <v>291</v>
      </c>
      <c r="C80" s="7" t="s">
        <v>292</v>
      </c>
      <c r="D80" s="7" t="str">
        <f ca="1">IFERROR(__xludf.DUMMYFUNCTION("AI(""Fill an appropriate value for this cell based on the table context"")"),"Verify whether the user is able to edit their profile details and save the changes successfully.")</f>
        <v>Verify whether the user is able to edit their profile details and save the changes successfully.</v>
      </c>
      <c r="E80" s="7" t="str">
        <f ca="1">IFERROR(__xludf.DUMMYFUNCTION("AI(""Fill an appropriate value for this cell based on the table context"")"),"1.  Click on the Login Page
2.  Click on the Login Button
3.  Click on the Profile icon
4.  Click on the Edit Profile button")</f>
        <v>1.  Click on the Login Page
2.  Click on the Login Button
3.  Click on the Profile icon
4.  Click on the Edit Profile button</v>
      </c>
      <c r="F80" s="7" t="s">
        <v>20</v>
      </c>
      <c r="G80" s="7" t="str">
        <f ca="1">IFERROR(__xludf.DUMMYFUNCTION("AI(""Fill an appropriate value for this cell based on the table context"")"),"User should be able to edit profile information successfully and changes should be saved.")</f>
        <v>User should be able to edit profile information successfully and changes should be saved.</v>
      </c>
      <c r="H80" s="7" t="s">
        <v>293</v>
      </c>
      <c r="I80" s="8" t="s">
        <v>76</v>
      </c>
      <c r="J80" s="7" t="str">
        <f ca="1">IFERROR(__xludf.DUMMYFUNCTION("AI(""Fill an appropriate value for this cell based on the table context"")"),"Users are unable to view or verify their profile information after saving changes, leading to a blank profile and preventing them from effectively presenting their professional details to recruiters.")</f>
        <v>Users are unable to view or verify their profile information after saving changes, leading to a blank profile and preventing them from effectively presenting their professional details to recruiters.</v>
      </c>
      <c r="K80" s="7" t="s">
        <v>107</v>
      </c>
      <c r="L80" s="9" t="s">
        <v>294</v>
      </c>
      <c r="M80" s="10" t="s">
        <v>295</v>
      </c>
      <c r="N80" s="3" t="s">
        <v>79</v>
      </c>
    </row>
    <row r="81" spans="1:14" ht="184.8" x14ac:dyDescent="0.25">
      <c r="A81" s="18"/>
      <c r="B81" s="19"/>
      <c r="C81" s="7" t="s">
        <v>296</v>
      </c>
      <c r="D81" s="7" t="s">
        <v>297</v>
      </c>
      <c r="E81" s="7" t="str">
        <f ca="1">IFERROR(__xludf.DUMMYFUNCTION("AI(""Fill an appropriate value for this cell based on the table context"")"),"1.  Click on the Login Page
2.  Click on the Login Button
3.  Click on the Profile icon
4.  Click on the Edit Profile button")</f>
        <v>1.  Click on the Login Page
2.  Click on the Login Button
3.  Click on the Profile icon
4.  Click on the Edit Profile button</v>
      </c>
      <c r="F81" s="7" t="s">
        <v>20</v>
      </c>
      <c r="G81" s="7" t="str">
        <f ca="1">IFERROR(__xludf.DUMMYFUNCTION("AI(""Fill an appropriate value for this cell based on the table context"")"),"All fields should be validated correctly according to their specific requirements.")</f>
        <v>All fields should be validated correctly according to their specific requirements.</v>
      </c>
      <c r="H81" s="7" t="s">
        <v>298</v>
      </c>
      <c r="I81" s="8" t="s">
        <v>266</v>
      </c>
      <c r="J81" s="7" t="str">
        <f ca="1">IFERROR(__xludf.DUMMYFUNCTION("AI(""Fill an appropriate value for this cell based on the table context"")"),"Invalid data entry for names and emails can lead to incorrect user profiles, communication failures, and potential security risks due to lack of proper input sanitization.")</f>
        <v>Invalid data entry for names and emails can lead to incorrect user profiles, communication failures, and potential security risks due to lack of proper input sanitization.</v>
      </c>
      <c r="K81" s="7" t="s">
        <v>299</v>
      </c>
      <c r="L81" s="9" t="s">
        <v>300</v>
      </c>
      <c r="M81" s="10" t="s">
        <v>301</v>
      </c>
      <c r="N81" s="3" t="s">
        <v>79</v>
      </c>
    </row>
    <row r="82" spans="1:14" ht="145.19999999999999" x14ac:dyDescent="0.25">
      <c r="A82" s="18"/>
      <c r="B82" s="17" t="s">
        <v>302</v>
      </c>
      <c r="C82" s="7" t="s">
        <v>303</v>
      </c>
      <c r="D82" s="7" t="s">
        <v>304</v>
      </c>
      <c r="E82" s="7" t="s">
        <v>305</v>
      </c>
      <c r="F82" s="7" t="s">
        <v>20</v>
      </c>
      <c r="G82" s="7" t="str">
        <f ca="1">IFERROR(__xludf.DUMMYFUNCTION("AI(""Fill an appropriate value for this cell based on the table context"")"),"The Post Job form should open after clicking the Post Job button.")</f>
        <v>The Post Job form should open after clicking the Post Job button.</v>
      </c>
      <c r="H82" s="7" t="str">
        <f ca="1">IFERROR(__xludf.DUMMYFUNCTION("AI(""Fill an appropriate value for this cell based on the table context"")"),"The Post Job button successfully navigates to the job posting form.")</f>
        <v>The Post Job button successfully navigates to the job posting form.</v>
      </c>
      <c r="I82" s="7" t="s">
        <v>46</v>
      </c>
      <c r="J82" s="7"/>
      <c r="K82" s="7"/>
      <c r="L82" s="7"/>
      <c r="M82" s="7"/>
      <c r="N82" s="3"/>
    </row>
    <row r="83" spans="1:14" ht="224.4" x14ac:dyDescent="0.25">
      <c r="A83" s="18"/>
      <c r="B83" s="18"/>
      <c r="C83" s="7" t="s">
        <v>306</v>
      </c>
      <c r="D83" s="7" t="s">
        <v>297</v>
      </c>
      <c r="E83" s="7" t="s">
        <v>305</v>
      </c>
      <c r="F83" s="7" t="s">
        <v>307</v>
      </c>
      <c r="G83" s="7" t="str">
        <f ca="1">IFERROR(__xludf.DUMMYFUNCTION("AI(""Fill an appropriate value for this cell based on the table context"")"),"All required fields should be validated, and the job should be posted only after providing all necessary information.")</f>
        <v>All required fields should be validated, and the job should be posted only after providing all necessary information.</v>
      </c>
      <c r="H83" s="7" t="s">
        <v>308</v>
      </c>
      <c r="I83" s="8" t="s">
        <v>76</v>
      </c>
      <c r="J83" s="7" t="str">
        <f ca="1">IFERROR(__xludf.DUMMYFUNCTION("AI(""Fill an appropriate value for this cell based on the table context"")"),"Recruiters may be able to post job openings using invalid email addresses, leading to communication failures, missed applicant notifications, and reduced trust in the platform's data integrity.")</f>
        <v>Recruiters may be able to post job openings using invalid email addresses, leading to communication failures, missed applicant notifications, and reduced trust in the platform's data integrity.</v>
      </c>
      <c r="K83" s="7" t="str">
        <f ca="1">IFERROR(__xludf.DUMMYFUNCTION("AI(""Fill an appropriate value for this cell based on the table context"")"),"High")</f>
        <v>High</v>
      </c>
      <c r="L83" s="9" t="s">
        <v>309</v>
      </c>
      <c r="M83" s="10" t="s">
        <v>310</v>
      </c>
      <c r="N83" s="3"/>
    </row>
    <row r="84" spans="1:14" ht="145.19999999999999" x14ac:dyDescent="0.25">
      <c r="A84" s="18"/>
      <c r="B84" s="18"/>
      <c r="C84" s="7" t="s">
        <v>311</v>
      </c>
      <c r="D84" s="7" t="s">
        <v>312</v>
      </c>
      <c r="E84" s="7" t="s">
        <v>305</v>
      </c>
      <c r="F84" s="7" t="s">
        <v>20</v>
      </c>
      <c r="G84" s="7" t="str">
        <f ca="1">IFERROR(__xludf.DUMMYFUNCTION("AI(""Fill an appropriate value for this cell based on the table context"")"),"Job should be posted successfully and visible in the job listings section.")</f>
        <v>Job should be posted successfully and visible in the job listings section.</v>
      </c>
      <c r="H84" s="7" t="s">
        <v>313</v>
      </c>
      <c r="I84" s="7" t="s">
        <v>46</v>
      </c>
      <c r="J84" s="7"/>
      <c r="K84" s="7"/>
      <c r="L84" s="7"/>
      <c r="M84" s="15" t="s">
        <v>314</v>
      </c>
      <c r="N84" s="3"/>
    </row>
    <row r="85" spans="1:14" ht="145.19999999999999" x14ac:dyDescent="0.25">
      <c r="A85" s="18"/>
      <c r="B85" s="18"/>
      <c r="C85" s="7" t="s">
        <v>315</v>
      </c>
      <c r="D85" s="7" t="s">
        <v>316</v>
      </c>
      <c r="E85" s="7" t="s">
        <v>317</v>
      </c>
      <c r="F85" s="7" t="s">
        <v>20</v>
      </c>
      <c r="G85" s="7" t="str">
        <f ca="1">IFERROR(__xludf.DUMMYFUNCTION("AI(""Fill an appropriate value for this cell based on the table context"")"),"The AI should accurately identify and display the most relevant candidate matches for the client based on the job requirements.")</f>
        <v>The AI should accurately identify and display the most relevant candidate matches for the client based on the job requirements.</v>
      </c>
      <c r="H85" s="7" t="str">
        <f ca="1">IFERROR(__xludf.DUMMYFUNCTION("AI(""Fill an appropriate value for this cell based on the table context"")"),"AI-powered hiring displays the best matches for the client.")</f>
        <v>AI-powered hiring displays the best matches for the client.</v>
      </c>
      <c r="I85" s="7" t="s">
        <v>46</v>
      </c>
      <c r="J85" s="7"/>
      <c r="K85" s="7"/>
      <c r="L85" s="7"/>
      <c r="M85" s="10" t="s">
        <v>318</v>
      </c>
      <c r="N85" s="3"/>
    </row>
    <row r="86" spans="1:14" ht="171.6" x14ac:dyDescent="0.25">
      <c r="A86" s="18"/>
      <c r="B86" s="19"/>
      <c r="C86" s="7" t="s">
        <v>319</v>
      </c>
      <c r="D86" s="7" t="s">
        <v>320</v>
      </c>
      <c r="E86" s="7" t="s">
        <v>321</v>
      </c>
      <c r="F86" s="7" t="s">
        <v>20</v>
      </c>
      <c r="G86" s="7" t="str">
        <f ca="1">IFERROR(__xludf.DUMMYFUNCTION("AI(""Fill an appropriate value for this cell based on the table context"")"),"User should be able to click on the Explore ExPO Features button and it should navigate to the ExPO section successfully.")</f>
        <v>User should be able to click on the Explore ExPO Features button and it should navigate to the ExPO section successfully.</v>
      </c>
      <c r="H86" s="7" t="str">
        <f ca="1">IFERROR(__xludf.DUMMYFUNCTION("AI(""Fill an appropriate value for this cell based on the table context"")"),"The Explore ExPO Features button is not clickable or responsive.")</f>
        <v>The Explore ExPO Features button is not clickable or responsive.</v>
      </c>
      <c r="I86" s="8" t="s">
        <v>76</v>
      </c>
      <c r="J86" s="7" t="str">
        <f ca="1">IFERROR(__xludf.DUMMYFUNCTION("AI(""Fill an appropriate value for this cell based on the table context"")"),"Users are unable to access the ExPO features through the job section, limiting their ability to explore additional resources and promotional content.")</f>
        <v>Users are unable to access the ExPO features through the job section, limiting their ability to explore additional resources and promotional content.</v>
      </c>
      <c r="K86" s="7" t="s">
        <v>322</v>
      </c>
      <c r="L86" s="9" t="s">
        <v>323</v>
      </c>
      <c r="M86" s="7"/>
      <c r="N86" s="3"/>
    </row>
    <row r="87" spans="1:14" ht="145.19999999999999" x14ac:dyDescent="0.25">
      <c r="A87" s="18"/>
      <c r="B87" s="17" t="s">
        <v>324</v>
      </c>
      <c r="C87" s="7" t="s">
        <v>325</v>
      </c>
      <c r="D87" s="7" t="s">
        <v>326</v>
      </c>
      <c r="E87" s="7" t="s">
        <v>327</v>
      </c>
      <c r="F87" s="7" t="s">
        <v>20</v>
      </c>
      <c r="G87" s="7" t="str">
        <f ca="1">IFERROR(__xludf.DUMMYFUNCTION("AI(""Fill an appropriate value for this cell based on the table context"")"),"All advertisements should be displayed successfully when the View all button is clicked.")</f>
        <v>All advertisements should be displayed successfully when the View all button is clicked.</v>
      </c>
      <c r="H87" s="7" t="str">
        <f ca="1">IFERROR(__xludf.DUMMYFUNCTION("AI(""Fill an appropriate value for this cell based on the table context"")"),"The View all button displays all advertisements correctly.")</f>
        <v>The View all button displays all advertisements correctly.</v>
      </c>
      <c r="I87" s="7" t="s">
        <v>46</v>
      </c>
      <c r="J87" s="7"/>
      <c r="K87" s="7"/>
      <c r="L87" s="7"/>
      <c r="M87" s="7"/>
      <c r="N87" s="3"/>
    </row>
    <row r="88" spans="1:14" ht="211.2" x14ac:dyDescent="0.25">
      <c r="A88" s="18"/>
      <c r="B88" s="18"/>
      <c r="C88" s="7" t="s">
        <v>328</v>
      </c>
      <c r="D88" s="7" t="s">
        <v>329</v>
      </c>
      <c r="E88" s="7" t="s">
        <v>330</v>
      </c>
      <c r="F88" s="7" t="s">
        <v>20</v>
      </c>
      <c r="G88" s="7" t="str">
        <f ca="1">IFERROR(__xludf.DUMMYFUNCTION("AI(""Fill an appropriate value for this cell based on the table context"")"),"All advertisements should be clearly visible and accurately displayed.")</f>
        <v>All advertisements should be clearly visible and accurately displayed.</v>
      </c>
      <c r="H88" s="7" t="str">
        <f ca="1">IFERROR(__xludf.DUMMYFUNCTION("AI(""Fill an appropriate value for this cell based on the table context"")"),"All ads are not clearly visible or correctly displayed in the ExPO tab.")</f>
        <v>All ads are not clearly visible or correctly displayed in the ExPO tab.</v>
      </c>
      <c r="I88" s="8" t="s">
        <v>76</v>
      </c>
      <c r="J88" s="7" t="str">
        <f ca="1">IFERROR(__xludf.DUMMYFUNCTION("AI(""Fill an appropriate value for this cell based on the table context"")"),"Users are unable to view advertisements in the ExPO module, resulting in a lack of engagement with promotional content and potentially reducing the reach of advertisements.")</f>
        <v>Users are unable to view advertisements in the ExPO module, resulting in a lack of engagement with promotional content and potentially reducing the reach of advertisements.</v>
      </c>
      <c r="K88" s="7" t="s">
        <v>107</v>
      </c>
      <c r="L88" s="12" t="s">
        <v>331</v>
      </c>
      <c r="M88" s="7"/>
      <c r="N88" s="3"/>
    </row>
    <row r="89" spans="1:14" ht="198" x14ac:dyDescent="0.25">
      <c r="A89" s="18"/>
      <c r="B89" s="19"/>
      <c r="C89" s="7" t="s">
        <v>332</v>
      </c>
      <c r="D89" s="7" t="s">
        <v>333</v>
      </c>
      <c r="E89" s="7" t="s">
        <v>334</v>
      </c>
      <c r="F89" s="7" t="s">
        <v>20</v>
      </c>
      <c r="G89" s="7" t="str">
        <f ca="1">IFERROR(__xludf.DUMMYFUNCTION("AI(""Fill an appropriate value for this cell based on the table context"")"),"Email and phone number should be validated before moving ahead.")</f>
        <v>Email and phone number should be validated before moving ahead.</v>
      </c>
      <c r="H89" s="7" t="s">
        <v>335</v>
      </c>
      <c r="I89" s="8" t="s">
        <v>76</v>
      </c>
      <c r="J89" s="7" t="str">
        <f ca="1">IFERROR(__xludf.DUMMYFUNCTION("AI(""Fill an appropriate value for this cell based on the table context"")"),"Invalid email and phone number validation can lead to unauthorized access, data breaches, and communication failures, compromising user data security and the integrity of the platform.")</f>
        <v>Invalid email and phone number validation can lead to unauthorized access, data breaches, and communication failures, compromising user data security and the integrity of the platform.</v>
      </c>
      <c r="K89" s="7" t="s">
        <v>336</v>
      </c>
      <c r="L89" s="9" t="s">
        <v>337</v>
      </c>
      <c r="M89" s="7"/>
      <c r="N89" s="3"/>
    </row>
    <row r="90" spans="1:14" ht="237.6" x14ac:dyDescent="0.25">
      <c r="A90" s="18"/>
      <c r="B90" s="17" t="s">
        <v>338</v>
      </c>
      <c r="C90" s="7" t="s">
        <v>339</v>
      </c>
      <c r="D90" s="7" t="str">
        <f ca="1">IFERROR(__xludf.DUMMYFUNCTION("AI(""Fill an appropriate value for this cell based on the table context"")"),"Verify whether the user is able to edit their profile details and save the changes successfully.")</f>
        <v>Verify whether the user is able to edit their profile details and save the changes successfully.</v>
      </c>
      <c r="E90" s="7" t="s">
        <v>340</v>
      </c>
      <c r="F90" s="7" t="s">
        <v>20</v>
      </c>
      <c r="G90" s="7" t="str">
        <f ca="1">IFERROR(__xludf.DUMMYFUNCTION("AI(""Fill an appropriate value for this cell based on the table context"")"),"User should be able to edit profile information successfully and changes should be saved.")</f>
        <v>User should be able to edit profile information successfully and changes should be saved.</v>
      </c>
      <c r="H90" s="7" t="s">
        <v>293</v>
      </c>
      <c r="I90" s="8" t="s">
        <v>76</v>
      </c>
      <c r="J90" s="7" t="str">
        <f ca="1">IFERROR(__xludf.DUMMYFUNCTION("AI(""Fill an appropriate value for this cell based on the table context"")"),"Users are unable to view or verify their profile information after saving changes, leading to a blank profile and preventing them from effectively presenting their professional details to recruiters.")</f>
        <v>Users are unable to view or verify their profile information after saving changes, leading to a blank profile and preventing them from effectively presenting their professional details to recruiters.</v>
      </c>
      <c r="K90" s="7" t="s">
        <v>107</v>
      </c>
      <c r="L90" s="9" t="s">
        <v>294</v>
      </c>
      <c r="M90" s="10" t="s">
        <v>295</v>
      </c>
      <c r="N90" s="3"/>
    </row>
    <row r="91" spans="1:14" ht="184.8" x14ac:dyDescent="0.25">
      <c r="A91" s="18"/>
      <c r="B91" s="19"/>
      <c r="C91" s="7" t="s">
        <v>341</v>
      </c>
      <c r="D91" s="7" t="s">
        <v>297</v>
      </c>
      <c r="E91" s="7" t="s">
        <v>340</v>
      </c>
      <c r="F91" s="7" t="s">
        <v>20</v>
      </c>
      <c r="G91" s="7" t="str">
        <f ca="1">IFERROR(__xludf.DUMMYFUNCTION("AI(""Fill an appropriate value for this cell based on the table context"")"),"All fields should be validated correctly according to their specific requirements.")</f>
        <v>All fields should be validated correctly according to their specific requirements.</v>
      </c>
      <c r="H91" s="7" t="s">
        <v>298</v>
      </c>
      <c r="I91" s="8" t="s">
        <v>266</v>
      </c>
      <c r="J91" s="7" t="str">
        <f ca="1">IFERROR(__xludf.DUMMYFUNCTION("AI(""Fill an appropriate value for this cell based on the table context"")"),"Invalid data entry for names and emails can lead to incorrect user profiles, communication failures, and potential security risks due to lack of proper input sanitization.")</f>
        <v>Invalid data entry for names and emails can lead to incorrect user profiles, communication failures, and potential security risks due to lack of proper input sanitization.</v>
      </c>
      <c r="K91" s="7" t="s">
        <v>299</v>
      </c>
      <c r="L91" s="9" t="s">
        <v>300</v>
      </c>
      <c r="M91" s="10" t="s">
        <v>301</v>
      </c>
      <c r="N91" s="3"/>
    </row>
    <row r="92" spans="1:14" ht="171.6" x14ac:dyDescent="0.25">
      <c r="A92" s="18"/>
      <c r="B92" s="7" t="s">
        <v>342</v>
      </c>
      <c r="C92" s="7" t="s">
        <v>343</v>
      </c>
      <c r="D92" s="7" t="s">
        <v>344</v>
      </c>
      <c r="E92" s="7" t="s">
        <v>345</v>
      </c>
      <c r="F92" s="7" t="s">
        <v>20</v>
      </c>
      <c r="G92" s="7" t="str">
        <f ca="1">IFERROR(__xludf.DUMMYFUNCTION("AI(""Fill an appropriate value for this cell based on the table context"")"),"All the posted ads or items should be clearly visible in the history section.")</f>
        <v>All the posted ads or items should be clearly visible in the history section.</v>
      </c>
      <c r="H92" s="7" t="str">
        <f ca="1">IFERROR(__xludf.DUMMYFUNCTION("AI(""Fill an appropriate value for this cell based on the table context"")"),"All posted items are visible.")</f>
        <v>All posted items are visible.</v>
      </c>
      <c r="I92" s="7" t="s">
        <v>46</v>
      </c>
      <c r="J92" s="7"/>
      <c r="K92" s="7"/>
      <c r="L92" s="9" t="s">
        <v>346</v>
      </c>
      <c r="M92" s="10" t="s">
        <v>347</v>
      </c>
      <c r="N92" s="3"/>
    </row>
    <row r="93" spans="1:14" ht="171.6" x14ac:dyDescent="0.25">
      <c r="A93" s="18"/>
      <c r="B93" s="7" t="s">
        <v>348</v>
      </c>
      <c r="C93" s="7" t="s">
        <v>349</v>
      </c>
      <c r="D93" s="7" t="s">
        <v>350</v>
      </c>
      <c r="E93" s="7" t="s">
        <v>351</v>
      </c>
      <c r="F93" s="7" t="s">
        <v>20</v>
      </c>
      <c r="G93" s="7" t="str">
        <f ca="1">IFERROR(__xludf.DUMMYFUNCTION("AI(""Fill an appropriate value for this cell based on the table context"")"),"User should be able to reset their password successfully and a confirmation message should be displayed.")</f>
        <v>User should be able to reset their password successfully and a confirmation message should be displayed.</v>
      </c>
      <c r="H93" s="7" t="str">
        <f ca="1">IFERROR(__xludf.DUMMYFUNCTION("AI(""Fill an appropriate value for this cell based on the table context"")"),"Password is successfully reset and reflects the changes upon login.")</f>
        <v>Password is successfully reset and reflects the changes upon login.</v>
      </c>
      <c r="I93" s="7" t="s">
        <v>46</v>
      </c>
      <c r="J93" s="7"/>
      <c r="K93" s="7"/>
      <c r="L93" s="7"/>
      <c r="M93" s="7"/>
      <c r="N93" s="3"/>
    </row>
    <row r="94" spans="1:14" ht="158.4" x14ac:dyDescent="0.25">
      <c r="A94" s="18"/>
      <c r="B94" s="7" t="s">
        <v>352</v>
      </c>
      <c r="C94" s="7" t="s">
        <v>353</v>
      </c>
      <c r="D94" s="7" t="s">
        <v>354</v>
      </c>
      <c r="E94" s="7" t="s">
        <v>355</v>
      </c>
      <c r="F94" s="7" t="s">
        <v>20</v>
      </c>
      <c r="G94" s="7" t="str">
        <f ca="1">IFERROR(__xludf.DUMMYFUNCTION("AI(""Fill an appropriate value for this cell based on the table context"")"),"All payment history records should be clearly visible and accurately displayed.")</f>
        <v>All payment history records should be clearly visible and accurately displayed.</v>
      </c>
      <c r="H94" s="7" t="str">
        <f ca="1">IFERROR(__xludf.DUMMYFUNCTION("AI(""Fill an appropriate value for this cell based on the table context"")"),"Payment history is displayed correctly and all transactions are visible.")</f>
        <v>Payment history is displayed correctly and all transactions are visible.</v>
      </c>
      <c r="I94" s="7" t="s">
        <v>46</v>
      </c>
      <c r="J94" s="7"/>
      <c r="K94" s="7"/>
      <c r="L94" s="9" t="s">
        <v>356</v>
      </c>
      <c r="M94" s="10" t="s">
        <v>357</v>
      </c>
      <c r="N94" s="3"/>
    </row>
    <row r="95" spans="1:14" ht="145.19999999999999" x14ac:dyDescent="0.25">
      <c r="A95" s="18"/>
      <c r="B95" s="17" t="s">
        <v>231</v>
      </c>
      <c r="C95" s="7" t="s">
        <v>358</v>
      </c>
      <c r="D95" s="7" t="s">
        <v>233</v>
      </c>
      <c r="E95" s="7" t="str">
        <f ca="1">IFERROR(__xludf.DUMMYFUNCTION("AI(""Fill an appropriate value for this cell based on the table context"")"),"1.  Click on the Login Page
2.  Click on the Login Button
3.  Click on Settings tab
4.  Click on the Support &amp; Legal tab")</f>
        <v>1.  Click on the Login Page
2.  Click on the Login Button
3.  Click on Settings tab
4.  Click on the Support &amp; Legal tab</v>
      </c>
      <c r="F95" s="7" t="s">
        <v>20</v>
      </c>
      <c r="G95" s="7" t="s">
        <v>234</v>
      </c>
      <c r="H95" s="7" t="s">
        <v>235</v>
      </c>
      <c r="I95" s="7" t="s">
        <v>46</v>
      </c>
      <c r="J95" s="7"/>
      <c r="K95" s="7"/>
      <c r="L95" s="12" t="s">
        <v>359</v>
      </c>
      <c r="M95" s="10" t="s">
        <v>237</v>
      </c>
      <c r="N95" s="3"/>
    </row>
    <row r="96" spans="1:14" ht="145.19999999999999" x14ac:dyDescent="0.25">
      <c r="A96" s="18"/>
      <c r="B96" s="18"/>
      <c r="C96" s="7" t="s">
        <v>360</v>
      </c>
      <c r="D96" s="7" t="s">
        <v>239</v>
      </c>
      <c r="E96" s="7" t="s">
        <v>240</v>
      </c>
      <c r="F96" s="7" t="s">
        <v>20</v>
      </c>
      <c r="G96" s="7" t="str">
        <f ca="1">IFERROR(__xludf.DUMMYFUNCTION("AI(""Fill an appropriate value for this cell based on the table context"")"),"All text in the Terms and Conditions section should be clearly visible and accurately displayed.")</f>
        <v>All text in the Terms and Conditions section should be clearly visible and accurately displayed.</v>
      </c>
      <c r="H96" s="7" t="s">
        <v>241</v>
      </c>
      <c r="I96" s="8" t="s">
        <v>76</v>
      </c>
      <c r="J96" s="7"/>
      <c r="K96" s="7"/>
      <c r="L96" s="7"/>
      <c r="M96" s="7"/>
      <c r="N96" s="3"/>
    </row>
    <row r="97" spans="1:14" ht="145.19999999999999" x14ac:dyDescent="0.25">
      <c r="A97" s="18"/>
      <c r="B97" s="18"/>
      <c r="C97" s="7" t="s">
        <v>361</v>
      </c>
      <c r="D97" s="7" t="s">
        <v>243</v>
      </c>
      <c r="E97" s="7" t="s">
        <v>244</v>
      </c>
      <c r="F97" s="7" t="s">
        <v>20</v>
      </c>
      <c r="G97" s="7" t="str">
        <f ca="1">IFERROR(__xludf.DUMMYFUNCTION("AI(""Fill an appropriate value for this cell based on the table context"")"),"All text in the Privacy Policy section should be clearly visible and accurately displayed.")</f>
        <v>All text in the Privacy Policy section should be clearly visible and accurately displayed.</v>
      </c>
      <c r="H97" s="7" t="s">
        <v>241</v>
      </c>
      <c r="I97" s="8" t="s">
        <v>76</v>
      </c>
      <c r="J97" s="7"/>
      <c r="K97" s="7"/>
      <c r="L97" s="7"/>
      <c r="M97" s="7"/>
      <c r="N97" s="3"/>
    </row>
    <row r="98" spans="1:14" ht="158.4" x14ac:dyDescent="0.25">
      <c r="A98" s="18"/>
      <c r="B98" s="18"/>
      <c r="C98" s="7" t="s">
        <v>362</v>
      </c>
      <c r="D98" s="7" t="s">
        <v>246</v>
      </c>
      <c r="E98" s="7" t="s">
        <v>247</v>
      </c>
      <c r="F98" s="7" t="s">
        <v>20</v>
      </c>
      <c r="G98" s="7" t="str">
        <f ca="1">IFERROR(__xludf.DUMMYFUNCTION("AI(""Fill an appropriate value for this cell based on the table context"")"),"Name field should only allow alphabetical character and not accept numeric values.")</f>
        <v>Name field should only allow alphabetical character and not accept numeric values.</v>
      </c>
      <c r="H98" s="7" t="str">
        <f ca="1">IFERROR(__xludf.DUMMYFUNCTION("AI(""Fill an appropriate value for this cell based on the table context"")"),"The name field is accepting numeric values.")</f>
        <v>The name field is accepting numeric values.</v>
      </c>
      <c r="I98" s="8" t="s">
        <v>76</v>
      </c>
      <c r="J98" s="7" t="str">
        <f ca="1">IFERROR(__xludf.DUMMYFUNCTION("AI(""Fill an appropriate value for this cell based on the table context"")"),"The Name field allows numeric input, which may lead to incorrect user data and affects the integrity of official grievance records.")</f>
        <v>The Name field allows numeric input, which may lead to incorrect user data and affects the integrity of official grievance records.</v>
      </c>
      <c r="K98" s="7" t="str">
        <f ca="1">IFERROR(__xludf.DUMMYFUNCTION("AI(""Fill an appropriate value for this cell based on the table context"")"),"Medium")</f>
        <v>Medium</v>
      </c>
      <c r="L98" s="7"/>
      <c r="M98" s="10" t="s">
        <v>248</v>
      </c>
      <c r="N98" s="3"/>
    </row>
    <row r="99" spans="1:14" ht="184.8" x14ac:dyDescent="0.25">
      <c r="A99" s="18"/>
      <c r="B99" s="18"/>
      <c r="C99" s="7" t="s">
        <v>363</v>
      </c>
      <c r="D99" s="7" t="s">
        <v>250</v>
      </c>
      <c r="E99" s="7" t="str">
        <f ca="1">IFERROR(__xludf.DUMMYFUNCTION("AI(""Fill an appropriate value for this cell based on the table context"")"),"1.  Click on the Login Page
2.  Click on the Login Button
3.  Click on Settings tab
4.  Click on the Grievance Center
5.  Click on Send OTP button")</f>
        <v>1.  Click on the Login Page
2.  Click on the Login Button
3.  Click on Settings tab
4.  Click on the Grievance Center
5.  Click on Send OTP button</v>
      </c>
      <c r="F99" s="7" t="s">
        <v>20</v>
      </c>
      <c r="G99" s="7" t="str">
        <f ca="1">IFERROR(__xludf.DUMMYFUNCTION("AI(""Fill an appropriate value for this cell based on the table context"")"),"The user should receive a one-time password (OTP) via their registered mobile number or email, and a confirmation message should be displayed.")</f>
        <v>The user should receive a one-time password (OTP) via their registered mobile number or email, and a confirmation message should be displayed.</v>
      </c>
      <c r="H99" s="7" t="str">
        <f ca="1">IFERROR(__xludf.DUMMYFUNCTION("AI(""Fill an appropriate value for this cell based on the table context"")"),"The OTP is not received on the registered mobile number or email.")</f>
        <v>The OTP is not received on the registered mobile number or email.</v>
      </c>
      <c r="I99" s="8" t="s">
        <v>76</v>
      </c>
      <c r="J99" s="7" t="str">
        <f ca="1">IFERROR(__xludf.DUMMYFUNCTION("AI(""Fill an appropriate value for this cell based on the table context"")"),"Users are unable to file or track grievances as they cannot verify their identity, leading to unresolved issues and loss of trust in the support system.")</f>
        <v>Users are unable to file or track grievances as they cannot verify their identity, leading to unresolved issues and loss of trust in the support system.</v>
      </c>
      <c r="K99" s="7" t="str">
        <f ca="1">IFERROR(__xludf.DUMMYFUNCTION("AI(""Fill an appropriate value for this cell based on the table context"")"),"High")</f>
        <v>High</v>
      </c>
      <c r="L99" s="7"/>
      <c r="M99" s="7"/>
      <c r="N99" s="3"/>
    </row>
    <row r="100" spans="1:14" ht="145.19999999999999" x14ac:dyDescent="0.25">
      <c r="A100" s="18"/>
      <c r="B100" s="18"/>
      <c r="C100" s="7" t="s">
        <v>364</v>
      </c>
      <c r="D100" s="7" t="s">
        <v>252</v>
      </c>
      <c r="E100" s="7" t="s">
        <v>253</v>
      </c>
      <c r="F100" s="7" t="s">
        <v>20</v>
      </c>
      <c r="G100" s="7" t="s">
        <v>254</v>
      </c>
      <c r="H100" s="7" t="str">
        <f ca="1">IFERROR(__xludf.DUMMYFUNCTION("AI(""Fill an appropriate value for this cell based on the table context"")"),"The Refund Policy section is empty.")</f>
        <v>The Refund Policy section is empty.</v>
      </c>
      <c r="I100" s="7" t="s">
        <v>46</v>
      </c>
      <c r="J100" s="7"/>
      <c r="K100" s="7"/>
      <c r="L100" s="7"/>
      <c r="M100" s="7"/>
      <c r="N100" s="3"/>
    </row>
    <row r="101" spans="1:14" ht="145.19999999999999" x14ac:dyDescent="0.25">
      <c r="A101" s="18"/>
      <c r="B101" s="18"/>
      <c r="C101" s="7" t="s">
        <v>365</v>
      </c>
      <c r="D101" s="7" t="s">
        <v>256</v>
      </c>
      <c r="E101" s="7" t="str">
        <f ca="1">IFERROR(__xludf.DUMMYFUNCTION("AI(""Fill an appropriate value for this cell based on the table context"")"),"1.  Click on the Login Page
2.  Click on the Login Button
3.  Click on Settings tab
4.  Click on the Sales Team tab")</f>
        <v>1.  Click on the Login Page
2.  Click on the Login Button
3.  Click on Settings tab
4.  Click on the Sales Team tab</v>
      </c>
      <c r="F101" s="7" t="s">
        <v>20</v>
      </c>
      <c r="G101" s="7" t="str">
        <f ca="1">IFERROR(__xludf.DUMMYFUNCTION("AI(""Fill an appropriate value for this cell based on the table context"")"),"All contact details, including name, phone number, and email, for the sales team should be clearly visible and accurate.")</f>
        <v>All contact details, including name, phone number, and email, for the sales team should be clearly visible and accurate.</v>
      </c>
      <c r="H101" s="7" t="str">
        <f ca="1">IFERROR(__xludf.DUMMYFUNCTION("AI(""Fill an appropriate value for this cell based on the table context"")"),"Sales team information is clearly visible and accurate.")</f>
        <v>Sales team information is clearly visible and accurate.</v>
      </c>
      <c r="I101" s="7" t="s">
        <v>46</v>
      </c>
      <c r="J101" s="7"/>
      <c r="K101" s="7"/>
      <c r="L101" s="7"/>
      <c r="M101" s="7"/>
      <c r="N101" s="3"/>
    </row>
    <row r="102" spans="1:14" ht="198" x14ac:dyDescent="0.25">
      <c r="A102" s="18"/>
      <c r="B102" s="19"/>
      <c r="C102" s="7" t="s">
        <v>366</v>
      </c>
      <c r="D102" s="7" t="s">
        <v>258</v>
      </c>
      <c r="E102" s="7" t="s">
        <v>259</v>
      </c>
      <c r="F102" s="7" t="s">
        <v>20</v>
      </c>
      <c r="G102" s="7" t="str">
        <f ca="1">IFERROR(__xludf.DUMMYFUNCTION("AI(""Fill an appropriate value for this cell based on the table context"")"),"The theme should change between light and dark modes successfully upon user selection.")</f>
        <v>The theme should change between light and dark modes successfully upon user selection.</v>
      </c>
      <c r="H102" s="7" t="str">
        <f ca="1">IFERROR(__xludf.DUMMYFUNCTION("AI(""Fill an appropriate value for this cell based on the table context"")"),"The theme changes successfully between light and dark modes upon user selection.")</f>
        <v>The theme changes successfully between light and dark modes upon user selection.</v>
      </c>
      <c r="I102" s="7" t="s">
        <v>46</v>
      </c>
      <c r="J102" s="7"/>
      <c r="K102" s="7"/>
      <c r="L102" s="7"/>
      <c r="M102" s="7"/>
      <c r="N102" s="3"/>
    </row>
    <row r="103" spans="1:14" ht="105.6" x14ac:dyDescent="0.25">
      <c r="A103" s="19"/>
      <c r="B103" s="7" t="s">
        <v>268</v>
      </c>
      <c r="C103" s="7" t="s">
        <v>367</v>
      </c>
      <c r="D103" s="7" t="str">
        <f ca="1">IFERROR(__xludf.DUMMYFUNCTION("AI(""Fill an appropriate value for this cell based on the table context"")"),"Verify whether the user is able to log out of the application successfully or not")</f>
        <v>Verify whether the user is able to log out of the application successfully or not</v>
      </c>
      <c r="E103" s="7" t="s">
        <v>270</v>
      </c>
      <c r="F103" s="7" t="s">
        <v>20</v>
      </c>
      <c r="G103" s="7" t="str">
        <f ca="1">IFERROR(__xludf.DUMMYFUNCTION("AI(""Fill an appropriate value for this cell based on the table context"")"),"User should be successfully logged out and redirected to the login page.")</f>
        <v>User should be successfully logged out and redirected to the login page.</v>
      </c>
      <c r="H103" s="7" t="str">
        <f ca="1">IFERROR(__xludf.DUMMYFUNCTION("AI(""Fill an appropriate value for this cell based on the table context"")"),"User is successfully logged out and redirected to the login page.")</f>
        <v>User is successfully logged out and redirected to the login page.</v>
      </c>
      <c r="I103" s="7" t="s">
        <v>46</v>
      </c>
      <c r="J103" s="7"/>
      <c r="K103" s="7"/>
      <c r="L103" s="7"/>
      <c r="M103" s="10" t="s">
        <v>271</v>
      </c>
      <c r="N103" s="3"/>
    </row>
    <row r="104" spans="1:14" ht="13.2" x14ac:dyDescent="0.25">
      <c r="A104" s="1"/>
      <c r="B104" s="1"/>
      <c r="C104" s="1"/>
      <c r="D104" s="1"/>
      <c r="E104" s="1"/>
      <c r="F104" s="1"/>
      <c r="G104" s="1"/>
      <c r="H104" s="1"/>
      <c r="I104" s="1"/>
      <c r="J104" s="1"/>
      <c r="K104" s="1"/>
      <c r="L104" s="1"/>
      <c r="M104" s="1"/>
    </row>
    <row r="105" spans="1:14" ht="13.2" x14ac:dyDescent="0.25">
      <c r="A105" s="1"/>
      <c r="B105" s="1"/>
      <c r="C105" s="1"/>
      <c r="D105" s="1"/>
      <c r="E105" s="1"/>
      <c r="F105" s="1"/>
      <c r="G105" s="1"/>
      <c r="H105" s="1"/>
      <c r="I105" s="1"/>
      <c r="J105" s="1"/>
      <c r="K105" s="1"/>
      <c r="L105" s="1"/>
      <c r="M105" s="1"/>
    </row>
    <row r="106" spans="1:14" ht="13.2" x14ac:dyDescent="0.25">
      <c r="A106" s="1"/>
      <c r="B106" s="1"/>
      <c r="C106" s="1"/>
      <c r="D106" s="1"/>
      <c r="E106" s="1"/>
      <c r="F106" s="1"/>
      <c r="G106" s="1"/>
      <c r="H106" s="1"/>
      <c r="I106" s="1"/>
      <c r="J106" s="1"/>
      <c r="K106" s="1"/>
      <c r="L106" s="1"/>
      <c r="M106" s="1"/>
    </row>
    <row r="107" spans="1:14" ht="13.2" x14ac:dyDescent="0.25">
      <c r="A107" s="1"/>
      <c r="B107" s="1"/>
      <c r="C107" s="1"/>
      <c r="D107" s="1"/>
      <c r="E107" s="1"/>
      <c r="F107" s="1"/>
      <c r="G107" s="1"/>
      <c r="H107" s="1"/>
      <c r="I107" s="1"/>
      <c r="J107" s="1"/>
      <c r="K107" s="1"/>
      <c r="L107" s="1"/>
      <c r="M107" s="1"/>
    </row>
    <row r="108" spans="1:14" ht="13.2" x14ac:dyDescent="0.25">
      <c r="A108" s="1"/>
      <c r="B108" s="1"/>
      <c r="C108" s="1"/>
      <c r="D108" s="1"/>
      <c r="E108" s="1"/>
      <c r="F108" s="1"/>
      <c r="G108" s="1"/>
      <c r="H108" s="1"/>
      <c r="I108" s="1"/>
      <c r="J108" s="1"/>
      <c r="K108" s="1"/>
      <c r="L108" s="1"/>
      <c r="M108" s="1"/>
    </row>
    <row r="109" spans="1:14" ht="13.2" x14ac:dyDescent="0.25">
      <c r="A109" s="1"/>
      <c r="B109" s="1"/>
      <c r="C109" s="1"/>
      <c r="D109" s="1"/>
      <c r="E109" s="1"/>
      <c r="F109" s="1"/>
      <c r="G109" s="1"/>
      <c r="H109" s="1"/>
      <c r="I109" s="1"/>
      <c r="J109" s="1"/>
      <c r="K109" s="1"/>
      <c r="L109" s="1"/>
      <c r="M109" s="1"/>
    </row>
    <row r="110" spans="1:14" ht="13.2" x14ac:dyDescent="0.25">
      <c r="A110" s="1"/>
      <c r="B110" s="1"/>
      <c r="C110" s="1"/>
      <c r="D110" s="1"/>
      <c r="E110" s="1"/>
      <c r="F110" s="1"/>
      <c r="G110" s="1"/>
      <c r="H110" s="1"/>
      <c r="I110" s="1"/>
      <c r="J110" s="1"/>
      <c r="K110" s="1"/>
      <c r="L110" s="1"/>
      <c r="M110" s="1"/>
    </row>
    <row r="111" spans="1:14" ht="13.2" x14ac:dyDescent="0.25">
      <c r="A111" s="1"/>
      <c r="B111" s="1"/>
      <c r="C111" s="1"/>
      <c r="D111" s="1"/>
      <c r="E111" s="1"/>
      <c r="F111" s="1"/>
      <c r="G111" s="1"/>
      <c r="H111" s="1"/>
      <c r="I111" s="1"/>
      <c r="J111" s="1"/>
      <c r="K111" s="1"/>
      <c r="L111" s="1"/>
      <c r="M111" s="1"/>
    </row>
    <row r="112" spans="1:14" ht="13.2" x14ac:dyDescent="0.25">
      <c r="A112" s="1"/>
      <c r="B112" s="1"/>
      <c r="C112" s="1"/>
      <c r="D112" s="1"/>
      <c r="E112" s="1"/>
      <c r="F112" s="1"/>
      <c r="G112" s="1"/>
      <c r="H112" s="1"/>
      <c r="I112" s="1"/>
      <c r="J112" s="1"/>
      <c r="K112" s="1"/>
      <c r="L112" s="1"/>
      <c r="M112" s="1"/>
    </row>
    <row r="113" spans="1:13" ht="13.2" x14ac:dyDescent="0.25">
      <c r="A113" s="1"/>
      <c r="B113" s="1"/>
      <c r="C113" s="1"/>
      <c r="D113" s="1"/>
      <c r="E113" s="1"/>
      <c r="F113" s="1"/>
      <c r="G113" s="1"/>
      <c r="H113" s="1"/>
      <c r="I113" s="1"/>
      <c r="J113" s="1"/>
      <c r="K113" s="1"/>
      <c r="L113" s="1"/>
      <c r="M113" s="1"/>
    </row>
    <row r="114" spans="1:13" ht="13.2" x14ac:dyDescent="0.25">
      <c r="A114" s="1"/>
      <c r="B114" s="1"/>
      <c r="C114" s="1"/>
      <c r="D114" s="1"/>
      <c r="E114" s="1"/>
      <c r="F114" s="1"/>
      <c r="G114" s="1"/>
      <c r="H114" s="1"/>
      <c r="I114" s="1"/>
      <c r="J114" s="1"/>
      <c r="K114" s="1"/>
      <c r="L114" s="1"/>
      <c r="M114" s="1"/>
    </row>
    <row r="115" spans="1:13" ht="13.2" x14ac:dyDescent="0.25">
      <c r="A115" s="1"/>
      <c r="B115" s="1"/>
      <c r="C115" s="1"/>
      <c r="D115" s="1"/>
      <c r="E115" s="1"/>
      <c r="F115" s="1"/>
      <c r="G115" s="1"/>
      <c r="H115" s="1"/>
      <c r="I115" s="1"/>
      <c r="J115" s="1"/>
      <c r="K115" s="1"/>
      <c r="L115" s="1"/>
      <c r="M115" s="1"/>
    </row>
    <row r="116" spans="1:13" ht="13.2" x14ac:dyDescent="0.25">
      <c r="A116" s="1"/>
      <c r="B116" s="1"/>
      <c r="C116" s="1"/>
      <c r="D116" s="1"/>
      <c r="E116" s="1"/>
      <c r="F116" s="1"/>
      <c r="G116" s="1"/>
      <c r="H116" s="1"/>
      <c r="I116" s="1"/>
      <c r="J116" s="1"/>
      <c r="K116" s="1"/>
      <c r="L116" s="1"/>
      <c r="M116" s="1"/>
    </row>
    <row r="117" spans="1:13" ht="13.2" x14ac:dyDescent="0.25">
      <c r="A117" s="1"/>
      <c r="B117" s="1"/>
      <c r="C117" s="1"/>
      <c r="D117" s="1"/>
      <c r="E117" s="1"/>
      <c r="F117" s="1"/>
      <c r="G117" s="1"/>
      <c r="H117" s="1"/>
      <c r="I117" s="1"/>
      <c r="J117" s="1"/>
      <c r="K117" s="1"/>
      <c r="L117" s="1"/>
      <c r="M117" s="1"/>
    </row>
    <row r="118" spans="1:13" ht="13.2" x14ac:dyDescent="0.25">
      <c r="A118" s="1"/>
      <c r="B118" s="1"/>
      <c r="C118" s="1"/>
      <c r="D118" s="1"/>
      <c r="E118" s="1"/>
      <c r="F118" s="1"/>
      <c r="G118" s="1"/>
      <c r="H118" s="1"/>
      <c r="I118" s="1"/>
      <c r="J118" s="1"/>
      <c r="K118" s="1"/>
      <c r="L118" s="1"/>
      <c r="M118" s="1"/>
    </row>
    <row r="119" spans="1:13" ht="13.2" x14ac:dyDescent="0.25">
      <c r="A119" s="1"/>
      <c r="B119" s="1"/>
      <c r="C119" s="1"/>
      <c r="D119" s="1"/>
      <c r="E119" s="1"/>
      <c r="F119" s="1"/>
      <c r="G119" s="1"/>
      <c r="H119" s="1"/>
      <c r="I119" s="1"/>
      <c r="J119" s="1"/>
      <c r="K119" s="1"/>
      <c r="L119" s="1"/>
      <c r="M119" s="1"/>
    </row>
    <row r="120" spans="1:13" ht="13.2" x14ac:dyDescent="0.25">
      <c r="A120" s="1"/>
      <c r="B120" s="1"/>
      <c r="C120" s="1"/>
      <c r="D120" s="1"/>
      <c r="E120" s="1"/>
      <c r="F120" s="1"/>
      <c r="G120" s="1"/>
      <c r="H120" s="1"/>
      <c r="I120" s="1"/>
      <c r="J120" s="1"/>
      <c r="K120" s="1"/>
      <c r="L120" s="1"/>
      <c r="M120" s="1"/>
    </row>
    <row r="121" spans="1:13" ht="13.2" x14ac:dyDescent="0.25">
      <c r="A121" s="1"/>
      <c r="B121" s="1"/>
      <c r="C121" s="1"/>
      <c r="D121" s="1"/>
      <c r="E121" s="1"/>
      <c r="F121" s="1"/>
      <c r="G121" s="1"/>
      <c r="H121" s="1"/>
      <c r="I121" s="1"/>
      <c r="J121" s="1"/>
      <c r="K121" s="1"/>
      <c r="L121" s="1"/>
      <c r="M121" s="1"/>
    </row>
    <row r="122" spans="1:13" ht="13.2" x14ac:dyDescent="0.25">
      <c r="A122" s="1"/>
      <c r="B122" s="1"/>
      <c r="C122" s="1"/>
      <c r="D122" s="1"/>
      <c r="E122" s="1"/>
      <c r="F122" s="1"/>
      <c r="G122" s="1"/>
      <c r="H122" s="1"/>
      <c r="I122" s="1"/>
      <c r="J122" s="1"/>
      <c r="K122" s="1"/>
      <c r="L122" s="1"/>
      <c r="M122" s="1"/>
    </row>
    <row r="123" spans="1:13" ht="13.2" x14ac:dyDescent="0.25">
      <c r="A123" s="1"/>
      <c r="B123" s="1"/>
      <c r="C123" s="1"/>
      <c r="D123" s="1"/>
      <c r="E123" s="1"/>
      <c r="F123" s="1"/>
      <c r="G123" s="1"/>
      <c r="H123" s="1"/>
      <c r="I123" s="1"/>
      <c r="J123" s="1"/>
      <c r="K123" s="1"/>
      <c r="L123" s="1"/>
      <c r="M123" s="1"/>
    </row>
    <row r="124" spans="1:13" ht="13.2" x14ac:dyDescent="0.25">
      <c r="A124" s="1"/>
      <c r="B124" s="1"/>
      <c r="C124" s="1"/>
      <c r="D124" s="1"/>
      <c r="E124" s="1"/>
      <c r="F124" s="1"/>
      <c r="G124" s="1"/>
      <c r="H124" s="1"/>
      <c r="I124" s="1"/>
      <c r="J124" s="1"/>
      <c r="K124" s="1"/>
      <c r="L124" s="1"/>
      <c r="M124" s="1"/>
    </row>
    <row r="125" spans="1:13" ht="13.2" x14ac:dyDescent="0.25">
      <c r="A125" s="1"/>
      <c r="B125" s="1"/>
      <c r="C125" s="1"/>
      <c r="D125" s="1"/>
      <c r="E125" s="1"/>
      <c r="F125" s="1"/>
      <c r="G125" s="1"/>
      <c r="H125" s="1"/>
      <c r="I125" s="1"/>
      <c r="J125" s="1"/>
      <c r="K125" s="1"/>
      <c r="L125" s="1"/>
      <c r="M125" s="1"/>
    </row>
    <row r="126" spans="1:13" ht="13.2" x14ac:dyDescent="0.25">
      <c r="A126" s="1"/>
      <c r="B126" s="1"/>
      <c r="C126" s="1"/>
      <c r="D126" s="1"/>
      <c r="E126" s="1"/>
      <c r="F126" s="1"/>
      <c r="G126" s="1"/>
      <c r="H126" s="1"/>
      <c r="I126" s="1"/>
      <c r="J126" s="1"/>
      <c r="K126" s="1"/>
      <c r="L126" s="1"/>
      <c r="M126" s="1"/>
    </row>
    <row r="127" spans="1:13" ht="13.2" x14ac:dyDescent="0.25">
      <c r="A127" s="1"/>
      <c r="B127" s="1"/>
      <c r="C127" s="1"/>
      <c r="D127" s="1"/>
      <c r="E127" s="1"/>
      <c r="F127" s="1"/>
      <c r="G127" s="1"/>
      <c r="H127" s="1"/>
      <c r="I127" s="1"/>
      <c r="J127" s="1"/>
      <c r="K127" s="1"/>
      <c r="L127" s="1"/>
      <c r="M127" s="1"/>
    </row>
    <row r="128" spans="1:13" ht="13.2" x14ac:dyDescent="0.25">
      <c r="A128" s="1"/>
      <c r="B128" s="1"/>
      <c r="C128" s="1"/>
      <c r="D128" s="1"/>
      <c r="E128" s="1"/>
      <c r="F128" s="1"/>
      <c r="G128" s="1"/>
      <c r="H128" s="1"/>
      <c r="I128" s="1"/>
      <c r="J128" s="1"/>
      <c r="K128" s="1"/>
      <c r="L128" s="1"/>
      <c r="M128" s="1"/>
    </row>
    <row r="129" spans="1:13" ht="13.2" x14ac:dyDescent="0.25">
      <c r="A129" s="1"/>
      <c r="B129" s="1"/>
      <c r="C129" s="1"/>
      <c r="D129" s="1"/>
      <c r="E129" s="1"/>
      <c r="F129" s="1"/>
      <c r="G129" s="1"/>
      <c r="H129" s="1"/>
      <c r="I129" s="1"/>
      <c r="J129" s="1"/>
      <c r="K129" s="1"/>
      <c r="L129" s="1"/>
      <c r="M129" s="1"/>
    </row>
    <row r="130" spans="1:13" ht="13.2" x14ac:dyDescent="0.25">
      <c r="A130" s="1"/>
      <c r="B130" s="1"/>
      <c r="C130" s="1"/>
      <c r="D130" s="1"/>
      <c r="E130" s="1"/>
      <c r="F130" s="1"/>
      <c r="G130" s="1"/>
      <c r="H130" s="1"/>
      <c r="I130" s="1"/>
      <c r="J130" s="1"/>
      <c r="K130" s="1"/>
      <c r="L130" s="1"/>
      <c r="M130" s="1"/>
    </row>
    <row r="131" spans="1:13" ht="13.2" x14ac:dyDescent="0.25">
      <c r="A131" s="1"/>
      <c r="B131" s="1"/>
      <c r="C131" s="1"/>
      <c r="D131" s="1"/>
      <c r="E131" s="1"/>
      <c r="F131" s="1"/>
      <c r="G131" s="1"/>
      <c r="H131" s="1"/>
      <c r="I131" s="1"/>
      <c r="J131" s="1"/>
      <c r="K131" s="1"/>
      <c r="L131" s="1"/>
      <c r="M131" s="1"/>
    </row>
    <row r="132" spans="1:13" ht="13.2" x14ac:dyDescent="0.25">
      <c r="A132" s="1"/>
      <c r="B132" s="1"/>
      <c r="C132" s="1"/>
      <c r="D132" s="1"/>
      <c r="E132" s="1"/>
      <c r="F132" s="1"/>
      <c r="G132" s="1"/>
      <c r="H132" s="1"/>
      <c r="I132" s="1"/>
      <c r="J132" s="1"/>
      <c r="K132" s="1"/>
      <c r="L132" s="1"/>
      <c r="M132" s="1"/>
    </row>
    <row r="133" spans="1:13" ht="13.2" x14ac:dyDescent="0.25">
      <c r="A133" s="1"/>
      <c r="B133" s="1"/>
      <c r="C133" s="1"/>
      <c r="D133" s="1"/>
      <c r="E133" s="1"/>
      <c r="F133" s="1"/>
      <c r="G133" s="1"/>
      <c r="H133" s="1"/>
      <c r="I133" s="1"/>
      <c r="J133" s="1"/>
      <c r="K133" s="1"/>
      <c r="L133" s="1"/>
      <c r="M133" s="1"/>
    </row>
    <row r="134" spans="1:13" ht="13.2" x14ac:dyDescent="0.25">
      <c r="A134" s="1"/>
      <c r="B134" s="1"/>
      <c r="C134" s="1"/>
      <c r="D134" s="1"/>
      <c r="E134" s="1"/>
      <c r="F134" s="1"/>
      <c r="G134" s="1"/>
      <c r="H134" s="1"/>
      <c r="I134" s="1"/>
      <c r="J134" s="1"/>
      <c r="K134" s="1"/>
      <c r="L134" s="1"/>
      <c r="M134" s="1"/>
    </row>
    <row r="135" spans="1:13" ht="13.2" x14ac:dyDescent="0.25">
      <c r="A135" s="1"/>
      <c r="B135" s="1"/>
      <c r="C135" s="1"/>
      <c r="D135" s="1"/>
      <c r="E135" s="1"/>
      <c r="F135" s="1"/>
      <c r="G135" s="1"/>
      <c r="H135" s="1"/>
      <c r="I135" s="1"/>
      <c r="J135" s="1"/>
      <c r="K135" s="1"/>
      <c r="L135" s="1"/>
      <c r="M135" s="1"/>
    </row>
    <row r="136" spans="1:13" ht="13.2" x14ac:dyDescent="0.25">
      <c r="A136" s="1"/>
      <c r="B136" s="1"/>
      <c r="C136" s="1"/>
      <c r="D136" s="1"/>
      <c r="E136" s="1"/>
      <c r="F136" s="1"/>
      <c r="G136" s="1"/>
      <c r="H136" s="1"/>
      <c r="I136" s="1"/>
      <c r="J136" s="1"/>
      <c r="K136" s="1"/>
      <c r="L136" s="1"/>
      <c r="M136" s="1"/>
    </row>
    <row r="137" spans="1:13" ht="13.2" x14ac:dyDescent="0.25">
      <c r="A137" s="1"/>
      <c r="B137" s="1"/>
      <c r="C137" s="1"/>
      <c r="D137" s="1"/>
      <c r="E137" s="1"/>
      <c r="F137" s="1"/>
      <c r="G137" s="1"/>
      <c r="H137" s="1"/>
      <c r="I137" s="1"/>
      <c r="J137" s="1"/>
      <c r="K137" s="1"/>
      <c r="L137" s="1"/>
      <c r="M137" s="1"/>
    </row>
    <row r="138" spans="1:13" ht="13.2" x14ac:dyDescent="0.25">
      <c r="A138" s="1"/>
      <c r="B138" s="1"/>
      <c r="C138" s="1"/>
      <c r="D138" s="1"/>
      <c r="E138" s="1"/>
      <c r="F138" s="1"/>
      <c r="G138" s="1"/>
      <c r="H138" s="1"/>
      <c r="I138" s="1"/>
      <c r="J138" s="1"/>
      <c r="K138" s="1"/>
      <c r="L138" s="1"/>
      <c r="M138" s="1"/>
    </row>
    <row r="139" spans="1:13" ht="13.2" x14ac:dyDescent="0.25">
      <c r="A139" s="1"/>
      <c r="B139" s="1"/>
      <c r="C139" s="1"/>
      <c r="D139" s="1"/>
      <c r="E139" s="1"/>
      <c r="F139" s="1"/>
      <c r="G139" s="1"/>
      <c r="H139" s="1"/>
      <c r="I139" s="1"/>
      <c r="J139" s="1"/>
      <c r="K139" s="1"/>
      <c r="L139" s="1"/>
      <c r="M139" s="1"/>
    </row>
    <row r="140" spans="1:13" ht="13.2" x14ac:dyDescent="0.25">
      <c r="A140" s="1"/>
      <c r="B140" s="1"/>
      <c r="C140" s="1"/>
      <c r="D140" s="1"/>
      <c r="E140" s="1"/>
      <c r="F140" s="1"/>
      <c r="G140" s="1"/>
      <c r="H140" s="1"/>
      <c r="I140" s="1"/>
      <c r="J140" s="1"/>
      <c r="K140" s="1"/>
      <c r="L140" s="1"/>
      <c r="M140" s="1"/>
    </row>
    <row r="141" spans="1:13" ht="13.2" x14ac:dyDescent="0.25">
      <c r="A141" s="1"/>
      <c r="B141" s="1"/>
      <c r="C141" s="1"/>
      <c r="D141" s="1"/>
      <c r="E141" s="1"/>
      <c r="F141" s="1"/>
      <c r="G141" s="1"/>
      <c r="H141" s="1"/>
      <c r="I141" s="1"/>
      <c r="J141" s="1"/>
      <c r="K141" s="1"/>
      <c r="L141" s="1"/>
      <c r="M141" s="1"/>
    </row>
    <row r="142" spans="1:13" ht="13.2" x14ac:dyDescent="0.25">
      <c r="A142" s="1"/>
      <c r="B142" s="1"/>
      <c r="C142" s="1"/>
      <c r="D142" s="1"/>
      <c r="E142" s="1"/>
      <c r="F142" s="1"/>
      <c r="G142" s="1"/>
      <c r="H142" s="1"/>
      <c r="I142" s="1"/>
      <c r="J142" s="1"/>
      <c r="K142" s="1"/>
      <c r="L142" s="1"/>
      <c r="M142" s="1"/>
    </row>
    <row r="143" spans="1:13" ht="13.2" x14ac:dyDescent="0.25">
      <c r="A143" s="1"/>
      <c r="B143" s="1"/>
      <c r="C143" s="1"/>
      <c r="D143" s="1"/>
      <c r="E143" s="1"/>
      <c r="F143" s="1"/>
      <c r="G143" s="1"/>
      <c r="H143" s="1"/>
      <c r="I143" s="1"/>
      <c r="J143" s="1"/>
      <c r="K143" s="1"/>
      <c r="L143" s="1"/>
      <c r="M143" s="1"/>
    </row>
    <row r="144" spans="1:13" ht="13.2" x14ac:dyDescent="0.25">
      <c r="A144" s="1"/>
      <c r="B144" s="1"/>
      <c r="C144" s="1"/>
      <c r="D144" s="1"/>
      <c r="E144" s="1"/>
      <c r="F144" s="1"/>
      <c r="G144" s="1"/>
      <c r="H144" s="1"/>
      <c r="I144" s="1"/>
      <c r="J144" s="1"/>
      <c r="K144" s="1"/>
      <c r="L144" s="1"/>
      <c r="M144" s="1"/>
    </row>
    <row r="145" spans="1:13" ht="13.2" x14ac:dyDescent="0.25">
      <c r="A145" s="1"/>
      <c r="B145" s="1"/>
      <c r="C145" s="1"/>
      <c r="D145" s="1"/>
      <c r="E145" s="1"/>
      <c r="F145" s="1"/>
      <c r="G145" s="1"/>
      <c r="H145" s="1"/>
      <c r="I145" s="1"/>
      <c r="J145" s="1"/>
      <c r="K145" s="1"/>
      <c r="L145" s="1"/>
      <c r="M145" s="1"/>
    </row>
    <row r="146" spans="1:13" ht="13.2" x14ac:dyDescent="0.25">
      <c r="A146" s="1"/>
      <c r="B146" s="1"/>
      <c r="C146" s="1"/>
      <c r="D146" s="1"/>
      <c r="E146" s="1"/>
      <c r="F146" s="1"/>
      <c r="G146" s="1"/>
      <c r="H146" s="1"/>
      <c r="I146" s="1"/>
      <c r="J146" s="1"/>
      <c r="K146" s="1"/>
      <c r="L146" s="1"/>
      <c r="M146" s="1"/>
    </row>
    <row r="147" spans="1:13" ht="13.2" x14ac:dyDescent="0.25">
      <c r="A147" s="1"/>
      <c r="B147" s="1"/>
      <c r="C147" s="1"/>
      <c r="D147" s="1"/>
      <c r="E147" s="1"/>
      <c r="F147" s="1"/>
      <c r="G147" s="1"/>
      <c r="H147" s="1"/>
      <c r="I147" s="1"/>
      <c r="J147" s="1"/>
      <c r="K147" s="1"/>
      <c r="L147" s="1"/>
      <c r="M147" s="1"/>
    </row>
    <row r="148" spans="1:13" ht="13.2" x14ac:dyDescent="0.25">
      <c r="A148" s="1"/>
      <c r="B148" s="1"/>
      <c r="C148" s="1"/>
      <c r="D148" s="1"/>
      <c r="E148" s="1"/>
      <c r="F148" s="1"/>
      <c r="G148" s="1"/>
      <c r="H148" s="1"/>
      <c r="I148" s="1"/>
      <c r="J148" s="1"/>
      <c r="K148" s="1"/>
      <c r="L148" s="1"/>
      <c r="M148" s="1"/>
    </row>
    <row r="149" spans="1:13" ht="13.2" x14ac:dyDescent="0.25">
      <c r="A149" s="1"/>
      <c r="B149" s="1"/>
      <c r="C149" s="1"/>
      <c r="D149" s="1"/>
      <c r="E149" s="1"/>
      <c r="F149" s="1"/>
      <c r="G149" s="1"/>
      <c r="H149" s="1"/>
      <c r="I149" s="1"/>
      <c r="J149" s="1"/>
      <c r="K149" s="1"/>
      <c r="L149" s="1"/>
      <c r="M149" s="1"/>
    </row>
    <row r="150" spans="1:13" ht="13.2" x14ac:dyDescent="0.25">
      <c r="A150" s="1"/>
      <c r="B150" s="1"/>
      <c r="C150" s="1"/>
      <c r="D150" s="1"/>
      <c r="E150" s="1"/>
      <c r="F150" s="1"/>
      <c r="G150" s="1"/>
      <c r="H150" s="1"/>
      <c r="I150" s="1"/>
      <c r="J150" s="1"/>
      <c r="K150" s="1"/>
      <c r="L150" s="1"/>
      <c r="M150" s="1"/>
    </row>
    <row r="151" spans="1:13" ht="13.2" x14ac:dyDescent="0.25">
      <c r="A151" s="1"/>
      <c r="B151" s="1"/>
      <c r="C151" s="1"/>
      <c r="D151" s="1"/>
      <c r="E151" s="1"/>
      <c r="F151" s="1"/>
      <c r="G151" s="1"/>
      <c r="H151" s="1"/>
      <c r="I151" s="1"/>
      <c r="J151" s="1"/>
      <c r="K151" s="1"/>
      <c r="L151" s="1"/>
      <c r="M151" s="1"/>
    </row>
    <row r="152" spans="1:13" ht="13.2" x14ac:dyDescent="0.25">
      <c r="A152" s="1"/>
      <c r="B152" s="1"/>
      <c r="C152" s="1"/>
      <c r="D152" s="1"/>
      <c r="E152" s="1"/>
      <c r="F152" s="1"/>
      <c r="G152" s="1"/>
      <c r="H152" s="1"/>
      <c r="I152" s="1"/>
      <c r="J152" s="1"/>
      <c r="K152" s="1"/>
      <c r="L152" s="1"/>
      <c r="M152" s="1"/>
    </row>
    <row r="153" spans="1:13" ht="13.2" x14ac:dyDescent="0.25">
      <c r="A153" s="1"/>
      <c r="B153" s="1"/>
      <c r="C153" s="1"/>
      <c r="D153" s="1"/>
      <c r="E153" s="1"/>
      <c r="F153" s="1"/>
      <c r="G153" s="1"/>
      <c r="H153" s="1"/>
      <c r="I153" s="1"/>
      <c r="J153" s="1"/>
      <c r="K153" s="1"/>
      <c r="L153" s="1"/>
      <c r="M153" s="1"/>
    </row>
    <row r="154" spans="1:13" ht="13.2" x14ac:dyDescent="0.25">
      <c r="A154" s="1"/>
      <c r="B154" s="1"/>
      <c r="C154" s="1"/>
      <c r="D154" s="1"/>
      <c r="E154" s="1"/>
      <c r="F154" s="1"/>
      <c r="G154" s="1"/>
      <c r="H154" s="1"/>
      <c r="I154" s="1"/>
      <c r="J154" s="1"/>
      <c r="K154" s="1"/>
      <c r="L154" s="1"/>
      <c r="M154" s="1"/>
    </row>
    <row r="155" spans="1:13" ht="13.2" x14ac:dyDescent="0.25">
      <c r="A155" s="1"/>
      <c r="B155" s="1"/>
      <c r="C155" s="1"/>
      <c r="D155" s="1"/>
      <c r="E155" s="1"/>
      <c r="F155" s="1"/>
      <c r="G155" s="1"/>
      <c r="H155" s="1"/>
      <c r="I155" s="1"/>
      <c r="J155" s="1"/>
      <c r="K155" s="1"/>
      <c r="L155" s="1"/>
      <c r="M155" s="1"/>
    </row>
    <row r="156" spans="1:13" ht="13.2" x14ac:dyDescent="0.25">
      <c r="A156" s="1"/>
      <c r="B156" s="1"/>
      <c r="C156" s="1"/>
      <c r="D156" s="1"/>
      <c r="E156" s="1"/>
      <c r="F156" s="1"/>
      <c r="G156" s="1"/>
      <c r="H156" s="1"/>
      <c r="I156" s="1"/>
      <c r="J156" s="1"/>
      <c r="K156" s="1"/>
      <c r="L156" s="1"/>
      <c r="M156" s="1"/>
    </row>
    <row r="157" spans="1:13" ht="13.2" x14ac:dyDescent="0.25">
      <c r="A157" s="1"/>
      <c r="B157" s="1"/>
      <c r="C157" s="1"/>
      <c r="D157" s="1"/>
      <c r="E157" s="1"/>
      <c r="F157" s="1"/>
      <c r="G157" s="1"/>
      <c r="H157" s="1"/>
      <c r="I157" s="1"/>
      <c r="J157" s="1"/>
      <c r="K157" s="1"/>
      <c r="L157" s="1"/>
      <c r="M157" s="1"/>
    </row>
    <row r="158" spans="1:13" ht="13.2" x14ac:dyDescent="0.25">
      <c r="A158" s="1"/>
      <c r="B158" s="1"/>
      <c r="C158" s="1"/>
      <c r="D158" s="1"/>
      <c r="E158" s="1"/>
      <c r="F158" s="1"/>
      <c r="G158" s="1"/>
      <c r="H158" s="1"/>
      <c r="I158" s="1"/>
      <c r="J158" s="1"/>
      <c r="K158" s="1"/>
      <c r="L158" s="1"/>
      <c r="M158" s="1"/>
    </row>
    <row r="159" spans="1:13" ht="13.2" x14ac:dyDescent="0.25">
      <c r="A159" s="1"/>
      <c r="B159" s="1"/>
      <c r="C159" s="1"/>
      <c r="D159" s="1"/>
      <c r="E159" s="1"/>
      <c r="F159" s="1"/>
      <c r="G159" s="1"/>
      <c r="H159" s="1"/>
      <c r="I159" s="1"/>
      <c r="J159" s="1"/>
      <c r="K159" s="1"/>
      <c r="L159" s="1"/>
      <c r="M159" s="1"/>
    </row>
    <row r="160" spans="1:13" ht="13.2" x14ac:dyDescent="0.25">
      <c r="A160" s="1"/>
      <c r="B160" s="1"/>
      <c r="C160" s="1"/>
      <c r="D160" s="1"/>
      <c r="E160" s="1"/>
      <c r="F160" s="1"/>
      <c r="G160" s="1"/>
      <c r="H160" s="1"/>
      <c r="I160" s="1"/>
      <c r="J160" s="1"/>
      <c r="K160" s="1"/>
      <c r="L160" s="1"/>
      <c r="M160" s="1"/>
    </row>
    <row r="161" spans="1:13" ht="13.2" x14ac:dyDescent="0.25">
      <c r="A161" s="1"/>
      <c r="B161" s="1"/>
      <c r="C161" s="1"/>
      <c r="D161" s="1"/>
      <c r="E161" s="1"/>
      <c r="F161" s="1"/>
      <c r="G161" s="1"/>
      <c r="H161" s="1"/>
      <c r="I161" s="1"/>
      <c r="J161" s="1"/>
      <c r="K161" s="1"/>
      <c r="L161" s="1"/>
      <c r="M161" s="1"/>
    </row>
    <row r="162" spans="1:13" ht="13.2" x14ac:dyDescent="0.25">
      <c r="A162" s="1"/>
      <c r="B162" s="1"/>
      <c r="C162" s="1"/>
      <c r="D162" s="1"/>
      <c r="E162" s="1"/>
      <c r="F162" s="1"/>
      <c r="G162" s="1"/>
      <c r="H162" s="1"/>
      <c r="I162" s="1"/>
      <c r="J162" s="1"/>
      <c r="K162" s="1"/>
      <c r="L162" s="1"/>
      <c r="M162" s="1"/>
    </row>
    <row r="163" spans="1:13" ht="13.2" x14ac:dyDescent="0.25">
      <c r="A163" s="1"/>
      <c r="B163" s="1"/>
      <c r="C163" s="1"/>
      <c r="D163" s="1"/>
      <c r="E163" s="1"/>
      <c r="F163" s="1"/>
      <c r="G163" s="1"/>
      <c r="H163" s="1"/>
      <c r="I163" s="1"/>
      <c r="J163" s="1"/>
      <c r="K163" s="1"/>
      <c r="L163" s="1"/>
      <c r="M163" s="1"/>
    </row>
    <row r="164" spans="1:13" ht="13.2" x14ac:dyDescent="0.25">
      <c r="A164" s="1"/>
      <c r="B164" s="1"/>
      <c r="C164" s="1"/>
      <c r="D164" s="1"/>
      <c r="E164" s="1"/>
      <c r="F164" s="1"/>
      <c r="G164" s="1"/>
      <c r="H164" s="1"/>
      <c r="I164" s="1"/>
      <c r="J164" s="1"/>
      <c r="K164" s="1"/>
      <c r="L164" s="1"/>
      <c r="M164" s="1"/>
    </row>
    <row r="165" spans="1:13" ht="13.2" x14ac:dyDescent="0.25">
      <c r="A165" s="1"/>
      <c r="B165" s="1"/>
      <c r="C165" s="1"/>
      <c r="D165" s="1"/>
      <c r="E165" s="1"/>
      <c r="F165" s="1"/>
      <c r="G165" s="1"/>
      <c r="H165" s="1"/>
      <c r="I165" s="1"/>
      <c r="J165" s="1"/>
      <c r="K165" s="1"/>
      <c r="L165" s="1"/>
      <c r="M165" s="1"/>
    </row>
    <row r="166" spans="1:13" ht="13.2" x14ac:dyDescent="0.25">
      <c r="A166" s="1"/>
      <c r="B166" s="1"/>
      <c r="C166" s="1"/>
      <c r="D166" s="1"/>
      <c r="E166" s="1"/>
      <c r="F166" s="1"/>
      <c r="G166" s="1"/>
      <c r="H166" s="1"/>
      <c r="I166" s="1"/>
      <c r="J166" s="1"/>
      <c r="K166" s="1"/>
      <c r="L166" s="1"/>
      <c r="M166" s="1"/>
    </row>
    <row r="167" spans="1:13" ht="13.2" x14ac:dyDescent="0.25">
      <c r="A167" s="1"/>
      <c r="B167" s="1"/>
      <c r="C167" s="1"/>
      <c r="D167" s="1"/>
      <c r="E167" s="1"/>
      <c r="F167" s="1"/>
      <c r="G167" s="1"/>
      <c r="H167" s="1"/>
      <c r="I167" s="1"/>
      <c r="J167" s="1"/>
      <c r="K167" s="1"/>
      <c r="L167" s="1"/>
      <c r="M167" s="1"/>
    </row>
    <row r="168" spans="1:13" ht="13.2" x14ac:dyDescent="0.25">
      <c r="A168" s="1"/>
      <c r="B168" s="1"/>
      <c r="C168" s="1"/>
      <c r="D168" s="1"/>
      <c r="E168" s="1"/>
      <c r="F168" s="1"/>
      <c r="G168" s="1"/>
      <c r="H168" s="1"/>
      <c r="I168" s="1"/>
      <c r="J168" s="1"/>
      <c r="K168" s="1"/>
      <c r="L168" s="1"/>
      <c r="M168" s="1"/>
    </row>
    <row r="169" spans="1:13" ht="13.2" x14ac:dyDescent="0.25">
      <c r="A169" s="1"/>
      <c r="B169" s="1"/>
      <c r="C169" s="1"/>
      <c r="D169" s="1"/>
      <c r="E169" s="1"/>
      <c r="F169" s="1"/>
      <c r="G169" s="1"/>
      <c r="H169" s="1"/>
      <c r="I169" s="1"/>
      <c r="J169" s="1"/>
      <c r="K169" s="1"/>
      <c r="L169" s="1"/>
      <c r="M169" s="1"/>
    </row>
    <row r="170" spans="1:13" ht="13.2" x14ac:dyDescent="0.25">
      <c r="A170" s="1"/>
      <c r="B170" s="1"/>
      <c r="C170" s="1"/>
      <c r="D170" s="1"/>
      <c r="E170" s="1"/>
      <c r="F170" s="1"/>
      <c r="G170" s="1"/>
      <c r="H170" s="1"/>
      <c r="I170" s="1"/>
      <c r="J170" s="1"/>
      <c r="K170" s="1"/>
      <c r="L170" s="1"/>
      <c r="M170" s="1"/>
    </row>
    <row r="171" spans="1:13" ht="13.2" x14ac:dyDescent="0.25">
      <c r="A171" s="1"/>
      <c r="B171" s="1"/>
      <c r="C171" s="1"/>
      <c r="D171" s="1"/>
      <c r="E171" s="1"/>
      <c r="F171" s="1"/>
      <c r="G171" s="1"/>
      <c r="H171" s="1"/>
      <c r="I171" s="1"/>
      <c r="J171" s="1"/>
      <c r="K171" s="1"/>
      <c r="L171" s="1"/>
      <c r="M171" s="1"/>
    </row>
    <row r="172" spans="1:13" ht="13.2" x14ac:dyDescent="0.25">
      <c r="A172" s="1"/>
      <c r="B172" s="1"/>
      <c r="C172" s="1"/>
      <c r="D172" s="1"/>
      <c r="E172" s="1"/>
      <c r="F172" s="1"/>
      <c r="G172" s="1"/>
      <c r="H172" s="1"/>
      <c r="I172" s="1"/>
      <c r="J172" s="1"/>
      <c r="K172" s="1"/>
      <c r="L172" s="1"/>
      <c r="M172" s="1"/>
    </row>
    <row r="173" spans="1:13" ht="13.2" x14ac:dyDescent="0.25">
      <c r="A173" s="1"/>
      <c r="B173" s="1"/>
      <c r="C173" s="1"/>
      <c r="D173" s="1"/>
      <c r="E173" s="1"/>
      <c r="F173" s="1"/>
      <c r="G173" s="1"/>
      <c r="H173" s="1"/>
      <c r="I173" s="1"/>
      <c r="J173" s="1"/>
      <c r="K173" s="1"/>
      <c r="L173" s="1"/>
      <c r="M173" s="1"/>
    </row>
    <row r="174" spans="1:13" ht="13.2" x14ac:dyDescent="0.25">
      <c r="A174" s="1"/>
      <c r="B174" s="1"/>
      <c r="C174" s="1"/>
      <c r="D174" s="1"/>
      <c r="E174" s="1"/>
      <c r="F174" s="1"/>
      <c r="G174" s="1"/>
      <c r="H174" s="1"/>
      <c r="I174" s="1"/>
      <c r="J174" s="1"/>
      <c r="K174" s="1"/>
      <c r="L174" s="1"/>
      <c r="M174" s="1"/>
    </row>
    <row r="175" spans="1:13" ht="13.2" x14ac:dyDescent="0.25">
      <c r="A175" s="1"/>
      <c r="B175" s="1"/>
      <c r="C175" s="1"/>
      <c r="D175" s="1"/>
      <c r="E175" s="1"/>
      <c r="F175" s="1"/>
      <c r="G175" s="1"/>
      <c r="H175" s="1"/>
      <c r="I175" s="1"/>
      <c r="J175" s="1"/>
      <c r="K175" s="1"/>
      <c r="L175" s="1"/>
      <c r="M175" s="1"/>
    </row>
    <row r="176" spans="1:13" ht="13.2" x14ac:dyDescent="0.25">
      <c r="A176" s="1"/>
      <c r="B176" s="1"/>
      <c r="C176" s="1"/>
      <c r="D176" s="1"/>
      <c r="E176" s="1"/>
      <c r="F176" s="1"/>
      <c r="G176" s="1"/>
      <c r="H176" s="1"/>
      <c r="I176" s="1"/>
      <c r="J176" s="1"/>
      <c r="K176" s="1"/>
      <c r="L176" s="1"/>
      <c r="M176" s="1"/>
    </row>
    <row r="177" spans="1:13" ht="13.2" x14ac:dyDescent="0.25">
      <c r="A177" s="1"/>
      <c r="B177" s="1"/>
      <c r="C177" s="1"/>
      <c r="D177" s="1"/>
      <c r="E177" s="1"/>
      <c r="F177" s="1"/>
      <c r="G177" s="1"/>
      <c r="H177" s="1"/>
      <c r="I177" s="1"/>
      <c r="J177" s="1"/>
      <c r="K177" s="1"/>
      <c r="L177" s="1"/>
      <c r="M177" s="1"/>
    </row>
    <row r="178" spans="1:13" ht="13.2" x14ac:dyDescent="0.25">
      <c r="A178" s="1"/>
      <c r="B178" s="1"/>
      <c r="C178" s="1"/>
      <c r="D178" s="1"/>
      <c r="E178" s="1"/>
      <c r="F178" s="1"/>
      <c r="G178" s="1"/>
      <c r="H178" s="1"/>
      <c r="I178" s="1"/>
      <c r="J178" s="1"/>
      <c r="K178" s="1"/>
      <c r="L178" s="1"/>
      <c r="M178" s="1"/>
    </row>
    <row r="179" spans="1:13" ht="13.2" x14ac:dyDescent="0.25">
      <c r="A179" s="1"/>
      <c r="B179" s="1"/>
      <c r="C179" s="1"/>
      <c r="D179" s="1"/>
      <c r="E179" s="1"/>
      <c r="F179" s="1"/>
      <c r="G179" s="1"/>
      <c r="H179" s="1"/>
      <c r="I179" s="1"/>
      <c r="J179" s="1"/>
      <c r="K179" s="1"/>
      <c r="L179" s="1"/>
      <c r="M179" s="1"/>
    </row>
    <row r="180" spans="1:13" ht="13.2" x14ac:dyDescent="0.25">
      <c r="A180" s="1"/>
      <c r="B180" s="1"/>
      <c r="C180" s="1"/>
      <c r="D180" s="1"/>
      <c r="E180" s="1"/>
      <c r="F180" s="1"/>
      <c r="G180" s="1"/>
      <c r="H180" s="1"/>
      <c r="I180" s="1"/>
      <c r="J180" s="1"/>
      <c r="K180" s="1"/>
      <c r="L180" s="1"/>
      <c r="M180" s="1"/>
    </row>
    <row r="181" spans="1:13" ht="13.2" x14ac:dyDescent="0.25">
      <c r="A181" s="1"/>
      <c r="B181" s="1"/>
      <c r="C181" s="1"/>
      <c r="D181" s="1"/>
      <c r="E181" s="1"/>
      <c r="F181" s="1"/>
      <c r="G181" s="1"/>
      <c r="H181" s="1"/>
      <c r="I181" s="1"/>
      <c r="J181" s="1"/>
      <c r="K181" s="1"/>
      <c r="L181" s="1"/>
      <c r="M181" s="1"/>
    </row>
    <row r="182" spans="1:13" ht="13.2" x14ac:dyDescent="0.25">
      <c r="A182" s="1"/>
      <c r="B182" s="1"/>
      <c r="C182" s="1"/>
      <c r="D182" s="1"/>
      <c r="E182" s="1"/>
      <c r="F182" s="1"/>
      <c r="G182" s="1"/>
      <c r="H182" s="1"/>
      <c r="I182" s="1"/>
      <c r="J182" s="1"/>
      <c r="K182" s="1"/>
      <c r="L182" s="1"/>
      <c r="M182" s="1"/>
    </row>
    <row r="183" spans="1:13" ht="13.2" x14ac:dyDescent="0.25">
      <c r="A183" s="1"/>
      <c r="B183" s="1"/>
      <c r="C183" s="1"/>
      <c r="D183" s="1"/>
      <c r="E183" s="1"/>
      <c r="F183" s="1"/>
      <c r="G183" s="1"/>
      <c r="H183" s="1"/>
      <c r="I183" s="1"/>
      <c r="J183" s="1"/>
      <c r="K183" s="1"/>
      <c r="L183" s="1"/>
      <c r="M183" s="1"/>
    </row>
    <row r="184" spans="1:13" ht="13.2" x14ac:dyDescent="0.25">
      <c r="A184" s="1"/>
      <c r="B184" s="1"/>
      <c r="C184" s="1"/>
      <c r="D184" s="1"/>
      <c r="E184" s="1"/>
      <c r="F184" s="1"/>
      <c r="G184" s="1"/>
      <c r="H184" s="1"/>
      <c r="I184" s="1"/>
      <c r="J184" s="1"/>
      <c r="K184" s="1"/>
      <c r="L184" s="1"/>
      <c r="M184" s="1"/>
    </row>
    <row r="185" spans="1:13" ht="13.2" x14ac:dyDescent="0.25">
      <c r="A185" s="1"/>
      <c r="B185" s="1"/>
      <c r="C185" s="1"/>
      <c r="D185" s="1"/>
      <c r="E185" s="1"/>
      <c r="F185" s="1"/>
      <c r="G185" s="1"/>
      <c r="H185" s="1"/>
      <c r="I185" s="1"/>
      <c r="J185" s="1"/>
      <c r="K185" s="1"/>
      <c r="L185" s="1"/>
      <c r="M185" s="1"/>
    </row>
    <row r="186" spans="1:13" ht="13.2" x14ac:dyDescent="0.25">
      <c r="A186" s="1"/>
      <c r="B186" s="1"/>
      <c r="C186" s="1"/>
      <c r="D186" s="1"/>
      <c r="E186" s="1"/>
      <c r="F186" s="1"/>
      <c r="G186" s="1"/>
      <c r="H186" s="1"/>
      <c r="I186" s="1"/>
      <c r="J186" s="1"/>
      <c r="K186" s="1"/>
      <c r="L186" s="1"/>
      <c r="M186" s="1"/>
    </row>
    <row r="187" spans="1:13" ht="13.2" x14ac:dyDescent="0.25">
      <c r="A187" s="1"/>
      <c r="B187" s="1"/>
      <c r="C187" s="1"/>
      <c r="D187" s="1"/>
      <c r="E187" s="1"/>
      <c r="F187" s="1"/>
      <c r="G187" s="1"/>
      <c r="H187" s="1"/>
      <c r="I187" s="1"/>
      <c r="J187" s="1"/>
      <c r="K187" s="1"/>
      <c r="L187" s="1"/>
      <c r="M187" s="1"/>
    </row>
    <row r="188" spans="1:13" ht="13.2" x14ac:dyDescent="0.25">
      <c r="A188" s="1"/>
      <c r="B188" s="1"/>
      <c r="C188" s="1"/>
      <c r="D188" s="1"/>
      <c r="E188" s="1"/>
      <c r="F188" s="1"/>
      <c r="G188" s="1"/>
      <c r="H188" s="1"/>
      <c r="I188" s="1"/>
      <c r="J188" s="1"/>
      <c r="K188" s="1"/>
      <c r="L188" s="1"/>
      <c r="M188" s="1"/>
    </row>
    <row r="189" spans="1:13" ht="13.2" x14ac:dyDescent="0.25">
      <c r="A189" s="1"/>
      <c r="B189" s="1"/>
      <c r="C189" s="1"/>
      <c r="D189" s="1"/>
      <c r="E189" s="1"/>
      <c r="F189" s="1"/>
      <c r="G189" s="1"/>
      <c r="H189" s="1"/>
      <c r="I189" s="1"/>
      <c r="J189" s="1"/>
      <c r="K189" s="1"/>
      <c r="L189" s="1"/>
      <c r="M189" s="1"/>
    </row>
    <row r="190" spans="1:13" ht="13.2" x14ac:dyDescent="0.25">
      <c r="A190" s="1"/>
      <c r="B190" s="1"/>
      <c r="C190" s="1"/>
      <c r="D190" s="1"/>
      <c r="E190" s="1"/>
      <c r="F190" s="1"/>
      <c r="G190" s="1"/>
      <c r="H190" s="1"/>
      <c r="I190" s="1"/>
      <c r="J190" s="1"/>
      <c r="K190" s="1"/>
      <c r="L190" s="1"/>
      <c r="M190" s="1"/>
    </row>
    <row r="191" spans="1:13" ht="13.2" x14ac:dyDescent="0.25">
      <c r="A191" s="1"/>
      <c r="B191" s="1"/>
      <c r="C191" s="1"/>
      <c r="D191" s="1"/>
      <c r="E191" s="1"/>
      <c r="F191" s="1"/>
      <c r="G191" s="1"/>
      <c r="H191" s="1"/>
      <c r="I191" s="1"/>
      <c r="J191" s="1"/>
      <c r="K191" s="1"/>
      <c r="L191" s="1"/>
      <c r="M191" s="1"/>
    </row>
    <row r="192" spans="1:13" ht="13.2" x14ac:dyDescent="0.25">
      <c r="A192" s="1"/>
      <c r="B192" s="1"/>
      <c r="C192" s="1"/>
      <c r="D192" s="1"/>
      <c r="E192" s="1"/>
      <c r="F192" s="1"/>
      <c r="G192" s="1"/>
      <c r="H192" s="1"/>
      <c r="I192" s="1"/>
      <c r="J192" s="1"/>
      <c r="K192" s="1"/>
      <c r="L192" s="1"/>
      <c r="M192" s="1"/>
    </row>
    <row r="193" spans="1:13" ht="13.2" x14ac:dyDescent="0.25">
      <c r="A193" s="1"/>
      <c r="B193" s="1"/>
      <c r="C193" s="1"/>
      <c r="D193" s="1"/>
      <c r="E193" s="1"/>
      <c r="F193" s="1"/>
      <c r="G193" s="1"/>
      <c r="H193" s="1"/>
      <c r="I193" s="1"/>
      <c r="J193" s="1"/>
      <c r="K193" s="1"/>
      <c r="L193" s="1"/>
      <c r="M193" s="1"/>
    </row>
    <row r="194" spans="1:13" ht="13.2" x14ac:dyDescent="0.25">
      <c r="A194" s="1"/>
      <c r="B194" s="1"/>
      <c r="C194" s="1"/>
      <c r="D194" s="1"/>
      <c r="E194" s="1"/>
      <c r="F194" s="1"/>
      <c r="G194" s="1"/>
      <c r="H194" s="1"/>
      <c r="I194" s="1"/>
      <c r="J194" s="1"/>
      <c r="K194" s="1"/>
      <c r="L194" s="1"/>
      <c r="M194" s="1"/>
    </row>
    <row r="195" spans="1:13" ht="13.2" x14ac:dyDescent="0.25">
      <c r="A195" s="1"/>
      <c r="B195" s="1"/>
      <c r="C195" s="1"/>
      <c r="D195" s="1"/>
      <c r="E195" s="1"/>
      <c r="F195" s="1"/>
      <c r="G195" s="1"/>
      <c r="H195" s="1"/>
      <c r="I195" s="1"/>
      <c r="J195" s="1"/>
      <c r="K195" s="1"/>
      <c r="L195" s="1"/>
      <c r="M195" s="1"/>
    </row>
    <row r="196" spans="1:13" ht="13.2" x14ac:dyDescent="0.25">
      <c r="A196" s="1"/>
      <c r="B196" s="1"/>
      <c r="C196" s="1"/>
      <c r="D196" s="1"/>
      <c r="E196" s="1"/>
      <c r="F196" s="1"/>
      <c r="G196" s="1"/>
      <c r="H196" s="1"/>
      <c r="I196" s="1"/>
      <c r="J196" s="1"/>
      <c r="K196" s="1"/>
      <c r="L196" s="1"/>
      <c r="M196" s="1"/>
    </row>
    <row r="197" spans="1:13" ht="13.2" x14ac:dyDescent="0.25">
      <c r="A197" s="1"/>
      <c r="B197" s="1"/>
      <c r="C197" s="1"/>
      <c r="D197" s="1"/>
      <c r="E197" s="1"/>
      <c r="F197" s="1"/>
      <c r="G197" s="1"/>
      <c r="H197" s="1"/>
      <c r="I197" s="1"/>
      <c r="J197" s="1"/>
      <c r="K197" s="1"/>
      <c r="L197" s="1"/>
      <c r="M197" s="1"/>
    </row>
    <row r="198" spans="1:13" ht="13.2" x14ac:dyDescent="0.25">
      <c r="A198" s="1"/>
      <c r="B198" s="1"/>
      <c r="C198" s="1"/>
      <c r="D198" s="1"/>
      <c r="E198" s="1"/>
      <c r="F198" s="1"/>
      <c r="G198" s="1"/>
      <c r="H198" s="1"/>
      <c r="I198" s="1"/>
      <c r="J198" s="1"/>
      <c r="K198" s="1"/>
      <c r="L198" s="1"/>
      <c r="M198" s="1"/>
    </row>
    <row r="199" spans="1:13" ht="13.2" x14ac:dyDescent="0.25">
      <c r="A199" s="1"/>
      <c r="B199" s="1"/>
      <c r="C199" s="1"/>
      <c r="D199" s="1"/>
      <c r="E199" s="1"/>
      <c r="F199" s="1"/>
      <c r="G199" s="1"/>
      <c r="H199" s="1"/>
      <c r="I199" s="1"/>
      <c r="J199" s="1"/>
      <c r="K199" s="1"/>
      <c r="L199" s="1"/>
      <c r="M199" s="1"/>
    </row>
    <row r="200" spans="1:13" ht="13.2" x14ac:dyDescent="0.25">
      <c r="A200" s="1"/>
      <c r="B200" s="1"/>
      <c r="C200" s="1"/>
      <c r="D200" s="1"/>
      <c r="E200" s="1"/>
      <c r="F200" s="1"/>
      <c r="G200" s="1"/>
      <c r="H200" s="1"/>
      <c r="I200" s="1"/>
      <c r="J200" s="1"/>
      <c r="K200" s="1"/>
      <c r="L200" s="1"/>
      <c r="M200" s="1"/>
    </row>
    <row r="201" spans="1:13" ht="13.2" x14ac:dyDescent="0.25">
      <c r="A201" s="1"/>
      <c r="B201" s="1"/>
      <c r="C201" s="1"/>
      <c r="D201" s="1"/>
      <c r="E201" s="1"/>
      <c r="F201" s="1"/>
      <c r="G201" s="1"/>
      <c r="H201" s="1"/>
      <c r="I201" s="1"/>
      <c r="J201" s="1"/>
      <c r="K201" s="1"/>
      <c r="L201" s="1"/>
      <c r="M201" s="1"/>
    </row>
    <row r="202" spans="1:13" ht="13.2" x14ac:dyDescent="0.25">
      <c r="A202" s="1"/>
      <c r="B202" s="1"/>
      <c r="C202" s="1"/>
      <c r="D202" s="1"/>
      <c r="E202" s="1"/>
      <c r="F202" s="1"/>
      <c r="G202" s="1"/>
      <c r="H202" s="1"/>
      <c r="I202" s="1"/>
      <c r="J202" s="1"/>
      <c r="K202" s="1"/>
      <c r="L202" s="1"/>
      <c r="M202" s="1"/>
    </row>
    <row r="203" spans="1:13" ht="13.2" x14ac:dyDescent="0.25">
      <c r="A203" s="1"/>
      <c r="B203" s="1"/>
      <c r="C203" s="1"/>
      <c r="D203" s="1"/>
      <c r="E203" s="1"/>
      <c r="F203" s="1"/>
      <c r="G203" s="1"/>
      <c r="H203" s="1"/>
      <c r="I203" s="1"/>
      <c r="J203" s="1"/>
      <c r="K203" s="1"/>
      <c r="L203" s="1"/>
      <c r="M203" s="1"/>
    </row>
    <row r="204" spans="1:13" ht="13.2" x14ac:dyDescent="0.25">
      <c r="A204" s="1"/>
      <c r="B204" s="1"/>
      <c r="C204" s="1"/>
      <c r="D204" s="1"/>
      <c r="E204" s="1"/>
      <c r="F204" s="1"/>
      <c r="G204" s="1"/>
      <c r="H204" s="1"/>
      <c r="I204" s="1"/>
      <c r="J204" s="1"/>
      <c r="K204" s="1"/>
      <c r="L204" s="1"/>
      <c r="M204" s="1"/>
    </row>
    <row r="205" spans="1:13" ht="13.2" x14ac:dyDescent="0.25">
      <c r="A205" s="1"/>
      <c r="B205" s="1"/>
      <c r="C205" s="1"/>
      <c r="D205" s="1"/>
      <c r="E205" s="1"/>
      <c r="F205" s="1"/>
      <c r="G205" s="1"/>
      <c r="H205" s="1"/>
      <c r="I205" s="1"/>
      <c r="J205" s="1"/>
      <c r="K205" s="1"/>
      <c r="L205" s="1"/>
      <c r="M205" s="1"/>
    </row>
    <row r="206" spans="1:13" ht="13.2" x14ac:dyDescent="0.25">
      <c r="A206" s="1"/>
      <c r="B206" s="1"/>
      <c r="C206" s="1"/>
      <c r="D206" s="1"/>
      <c r="E206" s="1"/>
      <c r="F206" s="1"/>
      <c r="G206" s="1"/>
      <c r="H206" s="1"/>
      <c r="I206" s="1"/>
      <c r="J206" s="1"/>
      <c r="K206" s="1"/>
      <c r="L206" s="1"/>
      <c r="M206" s="1"/>
    </row>
    <row r="207" spans="1:13" ht="13.2" x14ac:dyDescent="0.25">
      <c r="A207" s="1"/>
      <c r="B207" s="1"/>
      <c r="C207" s="1"/>
      <c r="D207" s="1"/>
      <c r="E207" s="1"/>
      <c r="F207" s="1"/>
      <c r="G207" s="1"/>
      <c r="H207" s="1"/>
      <c r="I207" s="1"/>
      <c r="J207" s="1"/>
      <c r="K207" s="1"/>
      <c r="L207" s="1"/>
      <c r="M207" s="1"/>
    </row>
    <row r="208" spans="1:13" ht="13.2" x14ac:dyDescent="0.25">
      <c r="A208" s="1"/>
      <c r="B208" s="1"/>
      <c r="C208" s="1"/>
      <c r="D208" s="1"/>
      <c r="E208" s="1"/>
      <c r="F208" s="1"/>
      <c r="G208" s="1"/>
      <c r="H208" s="1"/>
      <c r="I208" s="1"/>
      <c r="J208" s="1"/>
      <c r="K208" s="1"/>
      <c r="L208" s="1"/>
      <c r="M208" s="1"/>
    </row>
    <row r="209" spans="1:13" ht="13.2" x14ac:dyDescent="0.25">
      <c r="A209" s="1"/>
      <c r="B209" s="1"/>
      <c r="C209" s="1"/>
      <c r="D209" s="1"/>
      <c r="E209" s="1"/>
      <c r="F209" s="1"/>
      <c r="G209" s="1"/>
      <c r="H209" s="1"/>
      <c r="I209" s="1"/>
      <c r="J209" s="1"/>
      <c r="K209" s="1"/>
      <c r="L209" s="1"/>
      <c r="M209" s="1"/>
    </row>
    <row r="210" spans="1:13" ht="13.2" x14ac:dyDescent="0.25">
      <c r="A210" s="1"/>
      <c r="B210" s="1"/>
      <c r="C210" s="1"/>
      <c r="D210" s="1"/>
      <c r="E210" s="1"/>
      <c r="F210" s="1"/>
      <c r="G210" s="1"/>
      <c r="H210" s="1"/>
      <c r="I210" s="1"/>
      <c r="J210" s="1"/>
      <c r="K210" s="1"/>
      <c r="L210" s="1"/>
      <c r="M210" s="1"/>
    </row>
    <row r="211" spans="1:13" ht="13.2" x14ac:dyDescent="0.25">
      <c r="A211" s="1"/>
      <c r="B211" s="1"/>
      <c r="C211" s="1"/>
      <c r="D211" s="1"/>
      <c r="E211" s="1"/>
      <c r="F211" s="1"/>
      <c r="G211" s="1"/>
      <c r="H211" s="1"/>
      <c r="I211" s="1"/>
      <c r="J211" s="1"/>
      <c r="K211" s="1"/>
      <c r="L211" s="1"/>
      <c r="M211" s="1"/>
    </row>
    <row r="212" spans="1:13" ht="13.2" x14ac:dyDescent="0.25">
      <c r="A212" s="1"/>
      <c r="B212" s="1"/>
      <c r="C212" s="1"/>
      <c r="D212" s="1"/>
      <c r="E212" s="1"/>
      <c r="F212" s="1"/>
      <c r="G212" s="1"/>
      <c r="H212" s="1"/>
      <c r="I212" s="1"/>
      <c r="J212" s="1"/>
      <c r="K212" s="1"/>
      <c r="L212" s="1"/>
      <c r="M212" s="1"/>
    </row>
    <row r="213" spans="1:13" ht="13.2" x14ac:dyDescent="0.25">
      <c r="A213" s="1"/>
      <c r="B213" s="1"/>
      <c r="C213" s="1"/>
      <c r="D213" s="1"/>
      <c r="E213" s="1"/>
      <c r="F213" s="1"/>
      <c r="G213" s="1"/>
      <c r="H213" s="1"/>
      <c r="I213" s="1"/>
      <c r="J213" s="1"/>
      <c r="K213" s="1"/>
      <c r="L213" s="1"/>
      <c r="M213" s="1"/>
    </row>
    <row r="214" spans="1:13" ht="13.2" x14ac:dyDescent="0.25">
      <c r="A214" s="1"/>
      <c r="B214" s="1"/>
      <c r="C214" s="1"/>
      <c r="D214" s="1"/>
      <c r="E214" s="1"/>
      <c r="F214" s="1"/>
      <c r="G214" s="1"/>
      <c r="H214" s="1"/>
      <c r="I214" s="1"/>
      <c r="J214" s="1"/>
      <c r="K214" s="1"/>
      <c r="L214" s="1"/>
      <c r="M214" s="1"/>
    </row>
    <row r="215" spans="1:13" ht="13.2" x14ac:dyDescent="0.25">
      <c r="A215" s="1"/>
      <c r="B215" s="1"/>
      <c r="C215" s="1"/>
      <c r="D215" s="1"/>
      <c r="E215" s="1"/>
      <c r="F215" s="1"/>
      <c r="G215" s="1"/>
      <c r="H215" s="1"/>
      <c r="I215" s="1"/>
      <c r="J215" s="1"/>
      <c r="K215" s="1"/>
      <c r="L215" s="1"/>
      <c r="M215" s="1"/>
    </row>
    <row r="216" spans="1:13" ht="13.2" x14ac:dyDescent="0.25">
      <c r="A216" s="1"/>
      <c r="B216" s="1"/>
      <c r="C216" s="1"/>
      <c r="D216" s="1"/>
      <c r="E216" s="1"/>
      <c r="F216" s="1"/>
      <c r="G216" s="1"/>
      <c r="H216" s="1"/>
      <c r="I216" s="1"/>
      <c r="J216" s="1"/>
      <c r="K216" s="1"/>
      <c r="L216" s="1"/>
      <c r="M216" s="1"/>
    </row>
    <row r="217" spans="1:13" ht="13.2" x14ac:dyDescent="0.25">
      <c r="A217" s="1"/>
      <c r="B217" s="1"/>
      <c r="C217" s="1"/>
      <c r="D217" s="1"/>
      <c r="E217" s="1"/>
      <c r="F217" s="1"/>
      <c r="G217" s="1"/>
      <c r="H217" s="1"/>
      <c r="I217" s="1"/>
      <c r="J217" s="1"/>
      <c r="K217" s="1"/>
      <c r="L217" s="1"/>
      <c r="M217" s="1"/>
    </row>
    <row r="218" spans="1:13" ht="13.2" x14ac:dyDescent="0.25">
      <c r="A218" s="1"/>
      <c r="B218" s="1"/>
      <c r="C218" s="1"/>
      <c r="D218" s="1"/>
      <c r="E218" s="1"/>
      <c r="F218" s="1"/>
      <c r="G218" s="1"/>
      <c r="H218" s="1"/>
      <c r="I218" s="1"/>
      <c r="J218" s="1"/>
      <c r="K218" s="1"/>
      <c r="L218" s="1"/>
      <c r="M218" s="1"/>
    </row>
    <row r="219" spans="1:13" ht="13.2" x14ac:dyDescent="0.25">
      <c r="A219" s="1"/>
      <c r="B219" s="1"/>
      <c r="C219" s="1"/>
      <c r="D219" s="1"/>
      <c r="E219" s="1"/>
      <c r="F219" s="1"/>
      <c r="G219" s="1"/>
      <c r="H219" s="1"/>
      <c r="I219" s="1"/>
      <c r="J219" s="1"/>
      <c r="K219" s="1"/>
      <c r="L219" s="1"/>
      <c r="M219" s="1"/>
    </row>
    <row r="220" spans="1:13" ht="13.2" x14ac:dyDescent="0.25">
      <c r="A220" s="1"/>
      <c r="B220" s="1"/>
      <c r="C220" s="1"/>
      <c r="D220" s="1"/>
      <c r="E220" s="1"/>
      <c r="F220" s="1"/>
      <c r="G220" s="1"/>
      <c r="H220" s="1"/>
      <c r="I220" s="1"/>
      <c r="J220" s="1"/>
      <c r="K220" s="1"/>
      <c r="L220" s="1"/>
      <c r="M220" s="1"/>
    </row>
    <row r="221" spans="1:13" ht="13.2" x14ac:dyDescent="0.25">
      <c r="A221" s="1"/>
      <c r="B221" s="1"/>
      <c r="C221" s="1"/>
      <c r="D221" s="1"/>
      <c r="E221" s="1"/>
      <c r="F221" s="1"/>
      <c r="G221" s="1"/>
      <c r="H221" s="1"/>
      <c r="I221" s="1"/>
      <c r="J221" s="1"/>
      <c r="K221" s="1"/>
      <c r="L221" s="1"/>
      <c r="M221" s="1"/>
    </row>
    <row r="222" spans="1:13" ht="13.2" x14ac:dyDescent="0.25">
      <c r="A222" s="1"/>
      <c r="B222" s="1"/>
      <c r="C222" s="1"/>
      <c r="D222" s="1"/>
      <c r="E222" s="1"/>
      <c r="F222" s="1"/>
      <c r="G222" s="1"/>
      <c r="H222" s="1"/>
      <c r="I222" s="1"/>
      <c r="J222" s="1"/>
      <c r="K222" s="1"/>
      <c r="L222" s="1"/>
      <c r="M222" s="1"/>
    </row>
    <row r="223" spans="1:13" ht="13.2" x14ac:dyDescent="0.25">
      <c r="A223" s="1"/>
      <c r="B223" s="1"/>
      <c r="C223" s="1"/>
      <c r="D223" s="1"/>
      <c r="E223" s="1"/>
      <c r="F223" s="1"/>
      <c r="G223" s="1"/>
      <c r="H223" s="1"/>
      <c r="I223" s="1"/>
      <c r="J223" s="1"/>
      <c r="K223" s="1"/>
      <c r="L223" s="1"/>
      <c r="M223" s="1"/>
    </row>
    <row r="224" spans="1:13" ht="13.2" x14ac:dyDescent="0.25">
      <c r="A224" s="1"/>
      <c r="B224" s="1"/>
      <c r="C224" s="1"/>
      <c r="D224" s="1"/>
      <c r="E224" s="1"/>
      <c r="F224" s="1"/>
      <c r="G224" s="1"/>
      <c r="H224" s="1"/>
      <c r="I224" s="1"/>
      <c r="J224" s="1"/>
      <c r="K224" s="1"/>
      <c r="L224" s="1"/>
      <c r="M224" s="1"/>
    </row>
    <row r="225" spans="1:13" ht="13.2" x14ac:dyDescent="0.25">
      <c r="A225" s="1"/>
      <c r="B225" s="1"/>
      <c r="C225" s="1"/>
      <c r="D225" s="1"/>
      <c r="E225" s="1"/>
      <c r="F225" s="1"/>
      <c r="G225" s="1"/>
      <c r="H225" s="1"/>
      <c r="I225" s="1"/>
      <c r="J225" s="1"/>
      <c r="K225" s="1"/>
      <c r="L225" s="1"/>
      <c r="M225" s="1"/>
    </row>
    <row r="226" spans="1:13" ht="13.2" x14ac:dyDescent="0.25">
      <c r="A226" s="1"/>
      <c r="B226" s="1"/>
      <c r="C226" s="1"/>
      <c r="D226" s="1"/>
      <c r="E226" s="1"/>
      <c r="F226" s="1"/>
      <c r="G226" s="1"/>
      <c r="H226" s="1"/>
      <c r="I226" s="1"/>
      <c r="J226" s="1"/>
      <c r="K226" s="1"/>
      <c r="L226" s="1"/>
      <c r="M226" s="1"/>
    </row>
    <row r="227" spans="1:13" ht="13.2" x14ac:dyDescent="0.25">
      <c r="A227" s="1"/>
      <c r="B227" s="1"/>
      <c r="C227" s="1"/>
      <c r="D227" s="1"/>
      <c r="E227" s="1"/>
      <c r="F227" s="1"/>
      <c r="G227" s="1"/>
      <c r="H227" s="1"/>
      <c r="I227" s="1"/>
      <c r="J227" s="1"/>
      <c r="K227" s="1"/>
      <c r="L227" s="1"/>
      <c r="M227" s="1"/>
    </row>
    <row r="228" spans="1:13" ht="13.2" x14ac:dyDescent="0.25">
      <c r="A228" s="1"/>
      <c r="B228" s="1"/>
      <c r="C228" s="1"/>
      <c r="D228" s="1"/>
      <c r="E228" s="1"/>
      <c r="F228" s="1"/>
      <c r="G228" s="1"/>
      <c r="H228" s="1"/>
      <c r="I228" s="1"/>
      <c r="J228" s="1"/>
      <c r="K228" s="1"/>
      <c r="L228" s="1"/>
      <c r="M228" s="1"/>
    </row>
    <row r="229" spans="1:13" ht="13.2" x14ac:dyDescent="0.25">
      <c r="A229" s="1"/>
      <c r="B229" s="1"/>
      <c r="C229" s="1"/>
      <c r="D229" s="1"/>
      <c r="E229" s="1"/>
      <c r="F229" s="1"/>
      <c r="G229" s="1"/>
      <c r="H229" s="1"/>
      <c r="I229" s="1"/>
      <c r="J229" s="1"/>
      <c r="K229" s="1"/>
      <c r="L229" s="1"/>
      <c r="M229" s="1"/>
    </row>
    <row r="230" spans="1:13" ht="13.2" x14ac:dyDescent="0.25">
      <c r="A230" s="1"/>
      <c r="B230" s="1"/>
      <c r="C230" s="1"/>
      <c r="D230" s="1"/>
      <c r="E230" s="1"/>
      <c r="F230" s="1"/>
      <c r="G230" s="1"/>
      <c r="H230" s="1"/>
      <c r="I230" s="1"/>
      <c r="J230" s="1"/>
      <c r="K230" s="1"/>
      <c r="L230" s="1"/>
      <c r="M230" s="1"/>
    </row>
    <row r="231" spans="1:13" ht="13.2" x14ac:dyDescent="0.25">
      <c r="A231" s="1"/>
      <c r="B231" s="1"/>
      <c r="C231" s="1"/>
      <c r="D231" s="1"/>
      <c r="E231" s="1"/>
      <c r="F231" s="1"/>
      <c r="G231" s="1"/>
      <c r="H231" s="1"/>
      <c r="I231" s="1"/>
      <c r="J231" s="1"/>
      <c r="K231" s="1"/>
      <c r="L231" s="1"/>
      <c r="M231" s="1"/>
    </row>
    <row r="232" spans="1:13" ht="13.2" x14ac:dyDescent="0.25">
      <c r="A232" s="1"/>
      <c r="B232" s="1"/>
      <c r="C232" s="1"/>
      <c r="D232" s="1"/>
      <c r="E232" s="1"/>
      <c r="F232" s="1"/>
      <c r="G232" s="1"/>
      <c r="H232" s="1"/>
      <c r="I232" s="1"/>
      <c r="J232" s="1"/>
      <c r="K232" s="1"/>
      <c r="L232" s="1"/>
      <c r="M232" s="1"/>
    </row>
    <row r="233" spans="1:13" ht="13.2" x14ac:dyDescent="0.25">
      <c r="A233" s="1"/>
      <c r="B233" s="1"/>
      <c r="C233" s="1"/>
      <c r="D233" s="1"/>
      <c r="E233" s="1"/>
      <c r="F233" s="1"/>
      <c r="G233" s="1"/>
      <c r="H233" s="1"/>
      <c r="I233" s="1"/>
      <c r="J233" s="1"/>
      <c r="K233" s="1"/>
      <c r="L233" s="1"/>
      <c r="M233" s="1"/>
    </row>
    <row r="234" spans="1:13" ht="13.2" x14ac:dyDescent="0.25">
      <c r="A234" s="1"/>
      <c r="B234" s="1"/>
      <c r="C234" s="1"/>
      <c r="D234" s="1"/>
      <c r="E234" s="1"/>
      <c r="F234" s="1"/>
      <c r="G234" s="1"/>
      <c r="H234" s="1"/>
      <c r="I234" s="1"/>
      <c r="J234" s="1"/>
      <c r="K234" s="1"/>
      <c r="L234" s="1"/>
      <c r="M234" s="1"/>
    </row>
    <row r="235" spans="1:13" ht="13.2" x14ac:dyDescent="0.25">
      <c r="A235" s="1"/>
      <c r="B235" s="1"/>
      <c r="C235" s="1"/>
      <c r="D235" s="1"/>
      <c r="E235" s="1"/>
      <c r="F235" s="1"/>
      <c r="G235" s="1"/>
      <c r="H235" s="1"/>
      <c r="I235" s="1"/>
      <c r="J235" s="1"/>
      <c r="K235" s="1"/>
      <c r="L235" s="1"/>
      <c r="M235" s="1"/>
    </row>
    <row r="236" spans="1:13" ht="13.2" x14ac:dyDescent="0.25">
      <c r="A236" s="1"/>
      <c r="B236" s="1"/>
      <c r="C236" s="1"/>
      <c r="D236" s="1"/>
      <c r="E236" s="1"/>
      <c r="F236" s="1"/>
      <c r="G236" s="1"/>
      <c r="H236" s="1"/>
      <c r="I236" s="1"/>
      <c r="J236" s="1"/>
      <c r="K236" s="1"/>
      <c r="L236" s="1"/>
      <c r="M236" s="1"/>
    </row>
    <row r="237" spans="1:13" ht="13.2" x14ac:dyDescent="0.25">
      <c r="A237" s="1"/>
      <c r="B237" s="1"/>
      <c r="C237" s="1"/>
      <c r="D237" s="1"/>
      <c r="E237" s="1"/>
      <c r="F237" s="1"/>
      <c r="G237" s="1"/>
      <c r="H237" s="1"/>
      <c r="I237" s="1"/>
      <c r="J237" s="1"/>
      <c r="K237" s="1"/>
      <c r="L237" s="1"/>
      <c r="M237" s="1"/>
    </row>
    <row r="238" spans="1:13" ht="13.2" x14ac:dyDescent="0.25">
      <c r="A238" s="1"/>
      <c r="B238" s="1"/>
      <c r="C238" s="1"/>
      <c r="D238" s="1"/>
      <c r="E238" s="1"/>
      <c r="F238" s="1"/>
      <c r="G238" s="1"/>
      <c r="H238" s="1"/>
      <c r="I238" s="1"/>
      <c r="J238" s="1"/>
      <c r="K238" s="1"/>
      <c r="L238" s="1"/>
      <c r="M238" s="1"/>
    </row>
    <row r="239" spans="1:13" ht="13.2" x14ac:dyDescent="0.25">
      <c r="A239" s="1"/>
      <c r="B239" s="1"/>
      <c r="C239" s="1"/>
      <c r="D239" s="1"/>
      <c r="E239" s="1"/>
      <c r="F239" s="1"/>
      <c r="G239" s="1"/>
      <c r="H239" s="1"/>
      <c r="I239" s="1"/>
      <c r="J239" s="1"/>
      <c r="K239" s="1"/>
      <c r="L239" s="1"/>
      <c r="M239" s="1"/>
    </row>
    <row r="240" spans="1:13" ht="13.2" x14ac:dyDescent="0.25">
      <c r="A240" s="1"/>
      <c r="B240" s="1"/>
      <c r="C240" s="1"/>
      <c r="D240" s="1"/>
      <c r="E240" s="1"/>
      <c r="F240" s="1"/>
      <c r="G240" s="1"/>
      <c r="H240" s="1"/>
      <c r="I240" s="1"/>
      <c r="J240" s="1"/>
      <c r="K240" s="1"/>
      <c r="L240" s="1"/>
      <c r="M240" s="1"/>
    </row>
    <row r="241" spans="1:13" ht="13.2" x14ac:dyDescent="0.25">
      <c r="A241" s="1"/>
      <c r="B241" s="1"/>
      <c r="C241" s="1"/>
      <c r="D241" s="1"/>
      <c r="E241" s="1"/>
      <c r="F241" s="1"/>
      <c r="G241" s="1"/>
      <c r="H241" s="1"/>
      <c r="I241" s="1"/>
      <c r="J241" s="1"/>
      <c r="K241" s="1"/>
      <c r="L241" s="1"/>
      <c r="M241" s="1"/>
    </row>
    <row r="242" spans="1:13" ht="13.2" x14ac:dyDescent="0.25">
      <c r="A242" s="1"/>
      <c r="B242" s="1"/>
      <c r="C242" s="1"/>
      <c r="D242" s="1"/>
      <c r="E242" s="1"/>
      <c r="F242" s="1"/>
      <c r="G242" s="1"/>
      <c r="H242" s="1"/>
      <c r="I242" s="1"/>
      <c r="J242" s="1"/>
      <c r="K242" s="1"/>
      <c r="L242" s="1"/>
      <c r="M242" s="1"/>
    </row>
    <row r="243" spans="1:13" ht="13.2" x14ac:dyDescent="0.25">
      <c r="A243" s="1"/>
      <c r="B243" s="1"/>
      <c r="C243" s="1"/>
      <c r="D243" s="1"/>
      <c r="E243" s="1"/>
      <c r="F243" s="1"/>
      <c r="G243" s="1"/>
      <c r="H243" s="1"/>
      <c r="I243" s="1"/>
      <c r="J243" s="1"/>
      <c r="K243" s="1"/>
      <c r="L243" s="1"/>
      <c r="M243" s="1"/>
    </row>
    <row r="244" spans="1:13" ht="13.2" x14ac:dyDescent="0.25">
      <c r="A244" s="1"/>
      <c r="B244" s="1"/>
      <c r="C244" s="1"/>
      <c r="D244" s="1"/>
      <c r="E244" s="1"/>
      <c r="F244" s="1"/>
      <c r="G244" s="1"/>
      <c r="H244" s="1"/>
      <c r="I244" s="1"/>
      <c r="J244" s="1"/>
      <c r="K244" s="1"/>
      <c r="L244" s="1"/>
      <c r="M244" s="1"/>
    </row>
    <row r="245" spans="1:13" ht="13.2" x14ac:dyDescent="0.25">
      <c r="A245" s="1"/>
      <c r="B245" s="1"/>
      <c r="C245" s="1"/>
      <c r="D245" s="1"/>
      <c r="E245" s="1"/>
      <c r="F245" s="1"/>
      <c r="G245" s="1"/>
      <c r="H245" s="1"/>
      <c r="I245" s="1"/>
      <c r="J245" s="1"/>
      <c r="K245" s="1"/>
      <c r="L245" s="1"/>
      <c r="M245" s="1"/>
    </row>
    <row r="246" spans="1:13" ht="13.2" x14ac:dyDescent="0.25">
      <c r="A246" s="1"/>
      <c r="B246" s="1"/>
      <c r="C246" s="1"/>
      <c r="D246" s="1"/>
      <c r="E246" s="1"/>
      <c r="F246" s="1"/>
      <c r="G246" s="1"/>
      <c r="H246" s="1"/>
      <c r="I246" s="1"/>
      <c r="J246" s="1"/>
      <c r="K246" s="1"/>
      <c r="L246" s="1"/>
      <c r="M246" s="1"/>
    </row>
    <row r="247" spans="1:13" ht="13.2" x14ac:dyDescent="0.25">
      <c r="A247" s="1"/>
      <c r="B247" s="1"/>
      <c r="C247" s="1"/>
      <c r="D247" s="1"/>
      <c r="E247" s="1"/>
      <c r="F247" s="1"/>
      <c r="G247" s="1"/>
      <c r="H247" s="1"/>
      <c r="I247" s="1"/>
      <c r="J247" s="1"/>
      <c r="K247" s="1"/>
      <c r="L247" s="1"/>
      <c r="M247" s="1"/>
    </row>
    <row r="248" spans="1:13" ht="13.2" x14ac:dyDescent="0.25">
      <c r="A248" s="1"/>
      <c r="B248" s="1"/>
      <c r="C248" s="1"/>
      <c r="D248" s="1"/>
      <c r="E248" s="1"/>
      <c r="F248" s="1"/>
      <c r="G248" s="1"/>
      <c r="H248" s="1"/>
      <c r="I248" s="1"/>
      <c r="J248" s="1"/>
      <c r="K248" s="1"/>
      <c r="L248" s="1"/>
      <c r="M248" s="1"/>
    </row>
    <row r="249" spans="1:13" ht="13.2" x14ac:dyDescent="0.25">
      <c r="A249" s="1"/>
      <c r="B249" s="1"/>
      <c r="C249" s="1"/>
      <c r="D249" s="1"/>
      <c r="E249" s="1"/>
      <c r="F249" s="1"/>
      <c r="G249" s="1"/>
      <c r="H249" s="1"/>
      <c r="I249" s="1"/>
      <c r="J249" s="1"/>
      <c r="K249" s="1"/>
      <c r="L249" s="1"/>
      <c r="M249" s="1"/>
    </row>
    <row r="250" spans="1:13" ht="13.2" x14ac:dyDescent="0.25">
      <c r="A250" s="1"/>
      <c r="B250" s="1"/>
      <c r="C250" s="1"/>
      <c r="D250" s="1"/>
      <c r="E250" s="1"/>
      <c r="F250" s="1"/>
      <c r="G250" s="1"/>
      <c r="H250" s="1"/>
      <c r="I250" s="1"/>
      <c r="J250" s="1"/>
      <c r="K250" s="1"/>
      <c r="L250" s="1"/>
      <c r="M250" s="1"/>
    </row>
    <row r="251" spans="1:13" ht="13.2" x14ac:dyDescent="0.25">
      <c r="A251" s="1"/>
      <c r="B251" s="1"/>
      <c r="C251" s="1"/>
      <c r="D251" s="1"/>
      <c r="E251" s="1"/>
      <c r="F251" s="1"/>
      <c r="G251" s="1"/>
      <c r="H251" s="1"/>
      <c r="I251" s="1"/>
      <c r="J251" s="1"/>
      <c r="K251" s="1"/>
      <c r="L251" s="1"/>
      <c r="M251" s="1"/>
    </row>
    <row r="252" spans="1:13" ht="13.2" x14ac:dyDescent="0.25">
      <c r="A252" s="1"/>
      <c r="B252" s="1"/>
      <c r="C252" s="1"/>
      <c r="D252" s="1"/>
      <c r="E252" s="1"/>
      <c r="F252" s="1"/>
      <c r="G252" s="1"/>
      <c r="H252" s="1"/>
      <c r="I252" s="1"/>
      <c r="J252" s="1"/>
      <c r="K252" s="1"/>
      <c r="L252" s="1"/>
      <c r="M252" s="1"/>
    </row>
    <row r="253" spans="1:13" ht="13.2" x14ac:dyDescent="0.25">
      <c r="A253" s="1"/>
      <c r="B253" s="1"/>
      <c r="C253" s="1"/>
      <c r="D253" s="1"/>
      <c r="E253" s="1"/>
      <c r="F253" s="1"/>
      <c r="G253" s="1"/>
      <c r="H253" s="1"/>
      <c r="I253" s="1"/>
      <c r="J253" s="1"/>
      <c r="K253" s="1"/>
      <c r="L253" s="1"/>
      <c r="M253" s="1"/>
    </row>
    <row r="254" spans="1:13" ht="13.2" x14ac:dyDescent="0.25">
      <c r="A254" s="1"/>
      <c r="B254" s="1"/>
      <c r="C254" s="1"/>
      <c r="D254" s="1"/>
      <c r="E254" s="1"/>
      <c r="F254" s="1"/>
      <c r="G254" s="1"/>
      <c r="H254" s="1"/>
      <c r="I254" s="1"/>
      <c r="J254" s="1"/>
      <c r="K254" s="1"/>
      <c r="L254" s="1"/>
      <c r="M254" s="1"/>
    </row>
    <row r="255" spans="1:13" ht="13.2" x14ac:dyDescent="0.25">
      <c r="A255" s="1"/>
      <c r="B255" s="1"/>
      <c r="C255" s="1"/>
      <c r="D255" s="1"/>
      <c r="E255" s="1"/>
      <c r="F255" s="1"/>
      <c r="G255" s="1"/>
      <c r="H255" s="1"/>
      <c r="I255" s="1"/>
      <c r="J255" s="1"/>
      <c r="K255" s="1"/>
      <c r="L255" s="1"/>
      <c r="M255" s="1"/>
    </row>
    <row r="256" spans="1:13" ht="13.2" x14ac:dyDescent="0.25">
      <c r="A256" s="1"/>
      <c r="B256" s="1"/>
      <c r="C256" s="1"/>
      <c r="D256" s="1"/>
      <c r="E256" s="1"/>
      <c r="F256" s="1"/>
      <c r="G256" s="1"/>
      <c r="H256" s="1"/>
      <c r="I256" s="1"/>
      <c r="J256" s="1"/>
      <c r="K256" s="1"/>
      <c r="L256" s="1"/>
      <c r="M256" s="1"/>
    </row>
    <row r="257" spans="1:13" ht="13.2" x14ac:dyDescent="0.25">
      <c r="A257" s="1"/>
      <c r="B257" s="1"/>
      <c r="C257" s="1"/>
      <c r="D257" s="1"/>
      <c r="E257" s="1"/>
      <c r="F257" s="1"/>
      <c r="G257" s="1"/>
      <c r="H257" s="1"/>
      <c r="I257" s="1"/>
      <c r="J257" s="1"/>
      <c r="K257" s="1"/>
      <c r="L257" s="1"/>
      <c r="M257" s="1"/>
    </row>
    <row r="258" spans="1:13" ht="13.2" x14ac:dyDescent="0.25">
      <c r="A258" s="1"/>
      <c r="B258" s="1"/>
      <c r="C258" s="1"/>
      <c r="D258" s="1"/>
      <c r="E258" s="1"/>
      <c r="F258" s="1"/>
      <c r="G258" s="1"/>
      <c r="H258" s="1"/>
      <c r="I258" s="1"/>
      <c r="J258" s="1"/>
      <c r="K258" s="1"/>
      <c r="L258" s="1"/>
      <c r="M258" s="1"/>
    </row>
    <row r="259" spans="1:13" ht="13.2" x14ac:dyDescent="0.25">
      <c r="A259" s="1"/>
      <c r="B259" s="1"/>
      <c r="C259" s="1"/>
      <c r="D259" s="1"/>
      <c r="E259" s="1"/>
      <c r="F259" s="1"/>
      <c r="G259" s="1"/>
      <c r="H259" s="1"/>
      <c r="I259" s="1"/>
      <c r="J259" s="1"/>
      <c r="K259" s="1"/>
      <c r="L259" s="1"/>
      <c r="M259" s="1"/>
    </row>
    <row r="260" spans="1:13" ht="13.2" x14ac:dyDescent="0.25">
      <c r="A260" s="1"/>
      <c r="B260" s="1"/>
      <c r="C260" s="1"/>
      <c r="D260" s="1"/>
      <c r="E260" s="1"/>
      <c r="F260" s="1"/>
      <c r="G260" s="1"/>
      <c r="H260" s="1"/>
      <c r="I260" s="1"/>
      <c r="J260" s="1"/>
      <c r="K260" s="1"/>
      <c r="L260" s="1"/>
      <c r="M260" s="1"/>
    </row>
    <row r="261" spans="1:13" ht="13.2" x14ac:dyDescent="0.25">
      <c r="A261" s="1"/>
      <c r="B261" s="1"/>
      <c r="C261" s="1"/>
      <c r="D261" s="1"/>
      <c r="E261" s="1"/>
      <c r="F261" s="1"/>
      <c r="G261" s="1"/>
      <c r="H261" s="1"/>
      <c r="I261" s="1"/>
      <c r="J261" s="1"/>
      <c r="K261" s="1"/>
      <c r="L261" s="1"/>
      <c r="M261" s="1"/>
    </row>
    <row r="262" spans="1:13" ht="13.2" x14ac:dyDescent="0.25">
      <c r="A262" s="1"/>
      <c r="B262" s="1"/>
      <c r="C262" s="1"/>
      <c r="D262" s="1"/>
      <c r="E262" s="1"/>
      <c r="F262" s="1"/>
      <c r="G262" s="1"/>
      <c r="H262" s="1"/>
      <c r="I262" s="1"/>
      <c r="J262" s="1"/>
      <c r="K262" s="1"/>
      <c r="L262" s="1"/>
      <c r="M262" s="1"/>
    </row>
    <row r="263" spans="1:13" ht="13.2" x14ac:dyDescent="0.25">
      <c r="A263" s="1"/>
      <c r="B263" s="1"/>
      <c r="C263" s="1"/>
      <c r="D263" s="1"/>
      <c r="E263" s="1"/>
      <c r="F263" s="1"/>
      <c r="G263" s="1"/>
      <c r="H263" s="1"/>
      <c r="I263" s="1"/>
      <c r="J263" s="1"/>
      <c r="K263" s="1"/>
      <c r="L263" s="1"/>
      <c r="M263" s="1"/>
    </row>
    <row r="264" spans="1:13" ht="13.2" x14ac:dyDescent="0.25">
      <c r="A264" s="1"/>
      <c r="B264" s="1"/>
      <c r="C264" s="1"/>
      <c r="D264" s="1"/>
      <c r="E264" s="1"/>
      <c r="F264" s="1"/>
      <c r="G264" s="1"/>
      <c r="H264" s="1"/>
      <c r="I264" s="1"/>
      <c r="J264" s="1"/>
      <c r="K264" s="1"/>
      <c r="L264" s="1"/>
      <c r="M264" s="1"/>
    </row>
    <row r="265" spans="1:13" ht="13.2" x14ac:dyDescent="0.25">
      <c r="A265" s="1"/>
      <c r="B265" s="1"/>
      <c r="C265" s="1"/>
      <c r="D265" s="1"/>
      <c r="E265" s="1"/>
      <c r="F265" s="1"/>
      <c r="G265" s="1"/>
      <c r="H265" s="1"/>
      <c r="I265" s="1"/>
      <c r="J265" s="1"/>
      <c r="K265" s="1"/>
      <c r="L265" s="1"/>
      <c r="M265" s="1"/>
    </row>
    <row r="266" spans="1:13" ht="13.2" x14ac:dyDescent="0.25">
      <c r="A266" s="1"/>
      <c r="B266" s="1"/>
      <c r="C266" s="1"/>
      <c r="D266" s="1"/>
      <c r="E266" s="1"/>
      <c r="F266" s="1"/>
      <c r="G266" s="1"/>
      <c r="H266" s="1"/>
      <c r="I266" s="1"/>
      <c r="J266" s="1"/>
      <c r="K266" s="1"/>
      <c r="L266" s="1"/>
      <c r="M266" s="1"/>
    </row>
    <row r="267" spans="1:13" ht="13.2" x14ac:dyDescent="0.25">
      <c r="A267" s="1"/>
      <c r="B267" s="1"/>
      <c r="C267" s="1"/>
      <c r="D267" s="1"/>
      <c r="E267" s="1"/>
      <c r="F267" s="1"/>
      <c r="G267" s="1"/>
      <c r="H267" s="1"/>
      <c r="I267" s="1"/>
      <c r="J267" s="1"/>
      <c r="K267" s="1"/>
      <c r="L267" s="1"/>
      <c r="M267" s="1"/>
    </row>
    <row r="268" spans="1:13" ht="13.2" x14ac:dyDescent="0.25">
      <c r="A268" s="1"/>
      <c r="B268" s="1"/>
      <c r="C268" s="1"/>
      <c r="D268" s="1"/>
      <c r="E268" s="1"/>
      <c r="F268" s="1"/>
      <c r="G268" s="1"/>
      <c r="H268" s="1"/>
      <c r="I268" s="1"/>
      <c r="J268" s="1"/>
      <c r="K268" s="1"/>
      <c r="L268" s="1"/>
      <c r="M268" s="1"/>
    </row>
    <row r="269" spans="1:13" ht="13.2" x14ac:dyDescent="0.25">
      <c r="A269" s="1"/>
      <c r="B269" s="1"/>
      <c r="C269" s="1"/>
      <c r="D269" s="1"/>
      <c r="E269" s="1"/>
      <c r="F269" s="1"/>
      <c r="G269" s="1"/>
      <c r="H269" s="1"/>
      <c r="I269" s="1"/>
      <c r="J269" s="1"/>
      <c r="K269" s="1"/>
      <c r="L269" s="1"/>
      <c r="M269" s="1"/>
    </row>
    <row r="270" spans="1:13" ht="13.2" x14ac:dyDescent="0.25">
      <c r="A270" s="1"/>
      <c r="B270" s="1"/>
      <c r="C270" s="1"/>
      <c r="D270" s="1"/>
      <c r="E270" s="1"/>
      <c r="F270" s="1"/>
      <c r="G270" s="1"/>
      <c r="H270" s="1"/>
      <c r="I270" s="1"/>
      <c r="J270" s="1"/>
      <c r="K270" s="1"/>
      <c r="L270" s="1"/>
      <c r="M270" s="1"/>
    </row>
    <row r="271" spans="1:13" ht="13.2" x14ac:dyDescent="0.25">
      <c r="A271" s="1"/>
      <c r="B271" s="1"/>
      <c r="C271" s="1"/>
      <c r="D271" s="1"/>
      <c r="E271" s="1"/>
      <c r="F271" s="1"/>
      <c r="G271" s="1"/>
      <c r="H271" s="1"/>
      <c r="I271" s="1"/>
      <c r="J271" s="1"/>
      <c r="K271" s="1"/>
      <c r="L271" s="1"/>
      <c r="M271" s="1"/>
    </row>
    <row r="272" spans="1:13" ht="13.2" x14ac:dyDescent="0.25">
      <c r="A272" s="1"/>
      <c r="B272" s="1"/>
      <c r="C272" s="1"/>
      <c r="D272" s="1"/>
      <c r="E272" s="1"/>
      <c r="F272" s="1"/>
      <c r="G272" s="1"/>
      <c r="H272" s="1"/>
      <c r="I272" s="1"/>
      <c r="J272" s="1"/>
      <c r="K272" s="1"/>
      <c r="L272" s="1"/>
      <c r="M272" s="1"/>
    </row>
    <row r="273" spans="1:13" ht="13.2" x14ac:dyDescent="0.25">
      <c r="A273" s="1"/>
      <c r="B273" s="1"/>
      <c r="C273" s="1"/>
      <c r="D273" s="1"/>
      <c r="E273" s="1"/>
      <c r="F273" s="1"/>
      <c r="G273" s="1"/>
      <c r="H273" s="1"/>
      <c r="I273" s="1"/>
      <c r="J273" s="1"/>
      <c r="K273" s="1"/>
      <c r="L273" s="1"/>
      <c r="M273" s="1"/>
    </row>
    <row r="274" spans="1:13" ht="13.2" x14ac:dyDescent="0.25">
      <c r="A274" s="1"/>
      <c r="B274" s="1"/>
      <c r="C274" s="1"/>
      <c r="D274" s="1"/>
      <c r="E274" s="1"/>
      <c r="F274" s="1"/>
      <c r="G274" s="1"/>
      <c r="H274" s="1"/>
      <c r="I274" s="1"/>
      <c r="J274" s="1"/>
      <c r="K274" s="1"/>
      <c r="L274" s="1"/>
      <c r="M274" s="1"/>
    </row>
    <row r="275" spans="1:13" ht="13.2" x14ac:dyDescent="0.25">
      <c r="A275" s="1"/>
      <c r="B275" s="1"/>
      <c r="C275" s="1"/>
      <c r="D275" s="1"/>
      <c r="E275" s="1"/>
      <c r="F275" s="1"/>
      <c r="G275" s="1"/>
      <c r="H275" s="1"/>
      <c r="I275" s="1"/>
      <c r="J275" s="1"/>
      <c r="K275" s="1"/>
      <c r="L275" s="1"/>
      <c r="M275" s="1"/>
    </row>
    <row r="276" spans="1:13" ht="13.2" x14ac:dyDescent="0.25">
      <c r="A276" s="1"/>
      <c r="B276" s="1"/>
      <c r="C276" s="1"/>
      <c r="D276" s="1"/>
      <c r="E276" s="1"/>
      <c r="F276" s="1"/>
      <c r="G276" s="1"/>
      <c r="H276" s="1"/>
      <c r="I276" s="1"/>
      <c r="J276" s="1"/>
      <c r="K276" s="1"/>
      <c r="L276" s="1"/>
      <c r="M276" s="1"/>
    </row>
    <row r="277" spans="1:13" ht="13.2" x14ac:dyDescent="0.25">
      <c r="A277" s="1"/>
      <c r="B277" s="1"/>
      <c r="C277" s="1"/>
      <c r="D277" s="1"/>
      <c r="E277" s="1"/>
      <c r="F277" s="1"/>
      <c r="G277" s="1"/>
      <c r="H277" s="1"/>
      <c r="I277" s="1"/>
      <c r="J277" s="1"/>
      <c r="K277" s="1"/>
      <c r="L277" s="1"/>
      <c r="M277" s="1"/>
    </row>
    <row r="278" spans="1:13" ht="13.2" x14ac:dyDescent="0.25">
      <c r="A278" s="1"/>
      <c r="B278" s="1"/>
      <c r="C278" s="1"/>
      <c r="D278" s="1"/>
      <c r="E278" s="1"/>
      <c r="F278" s="1"/>
      <c r="G278" s="1"/>
      <c r="H278" s="1"/>
      <c r="I278" s="1"/>
      <c r="J278" s="1"/>
      <c r="K278" s="1"/>
      <c r="L278" s="1"/>
      <c r="M278" s="1"/>
    </row>
    <row r="279" spans="1:13" ht="13.2" x14ac:dyDescent="0.25">
      <c r="A279" s="1"/>
      <c r="B279" s="1"/>
      <c r="C279" s="1"/>
      <c r="D279" s="1"/>
      <c r="E279" s="1"/>
      <c r="F279" s="1"/>
      <c r="G279" s="1"/>
      <c r="H279" s="1"/>
      <c r="I279" s="1"/>
      <c r="J279" s="1"/>
      <c r="K279" s="1"/>
      <c r="L279" s="1"/>
      <c r="M279" s="1"/>
    </row>
    <row r="280" spans="1:13" ht="13.2" x14ac:dyDescent="0.25">
      <c r="A280" s="1"/>
      <c r="B280" s="1"/>
      <c r="C280" s="1"/>
      <c r="D280" s="1"/>
      <c r="E280" s="1"/>
      <c r="F280" s="1"/>
      <c r="G280" s="1"/>
      <c r="H280" s="1"/>
      <c r="I280" s="1"/>
      <c r="J280" s="1"/>
      <c r="K280" s="1"/>
      <c r="L280" s="1"/>
      <c r="M280" s="1"/>
    </row>
    <row r="281" spans="1:13" ht="13.2" x14ac:dyDescent="0.25">
      <c r="A281" s="1"/>
      <c r="B281" s="1"/>
      <c r="C281" s="1"/>
      <c r="D281" s="1"/>
      <c r="E281" s="1"/>
      <c r="F281" s="1"/>
      <c r="G281" s="1"/>
      <c r="H281" s="1"/>
      <c r="I281" s="1"/>
      <c r="J281" s="1"/>
      <c r="K281" s="1"/>
      <c r="L281" s="1"/>
      <c r="M281" s="1"/>
    </row>
    <row r="282" spans="1:13" ht="13.2" x14ac:dyDescent="0.25">
      <c r="A282" s="1"/>
      <c r="B282" s="1"/>
      <c r="C282" s="1"/>
      <c r="D282" s="1"/>
      <c r="E282" s="1"/>
      <c r="F282" s="1"/>
      <c r="G282" s="1"/>
      <c r="H282" s="1"/>
      <c r="I282" s="1"/>
      <c r="J282" s="1"/>
      <c r="K282" s="1"/>
      <c r="L282" s="1"/>
      <c r="M282" s="1"/>
    </row>
    <row r="283" spans="1:13" ht="13.2" x14ac:dyDescent="0.25">
      <c r="A283" s="1"/>
      <c r="B283" s="1"/>
      <c r="C283" s="1"/>
      <c r="D283" s="1"/>
      <c r="E283" s="1"/>
      <c r="F283" s="1"/>
      <c r="G283" s="1"/>
      <c r="H283" s="1"/>
      <c r="I283" s="1"/>
      <c r="J283" s="1"/>
      <c r="K283" s="1"/>
      <c r="L283" s="1"/>
      <c r="M283" s="1"/>
    </row>
    <row r="284" spans="1:13" ht="13.2" x14ac:dyDescent="0.25">
      <c r="A284" s="1"/>
      <c r="B284" s="1"/>
      <c r="C284" s="1"/>
      <c r="D284" s="1"/>
      <c r="E284" s="1"/>
      <c r="F284" s="1"/>
      <c r="G284" s="1"/>
      <c r="H284" s="1"/>
      <c r="I284" s="1"/>
      <c r="J284" s="1"/>
      <c r="K284" s="1"/>
      <c r="L284" s="1"/>
      <c r="M284" s="1"/>
    </row>
    <row r="285" spans="1:13" ht="13.2" x14ac:dyDescent="0.25">
      <c r="A285" s="1"/>
      <c r="B285" s="1"/>
      <c r="C285" s="1"/>
      <c r="D285" s="1"/>
      <c r="E285" s="1"/>
      <c r="F285" s="1"/>
      <c r="G285" s="1"/>
      <c r="H285" s="1"/>
      <c r="I285" s="1"/>
      <c r="J285" s="1"/>
      <c r="K285" s="1"/>
      <c r="L285" s="1"/>
      <c r="M285" s="1"/>
    </row>
    <row r="286" spans="1:13" ht="13.2" x14ac:dyDescent="0.25">
      <c r="A286" s="1"/>
      <c r="B286" s="1"/>
      <c r="C286" s="1"/>
      <c r="D286" s="1"/>
      <c r="E286" s="1"/>
      <c r="F286" s="1"/>
      <c r="G286" s="1"/>
      <c r="H286" s="1"/>
      <c r="I286" s="1"/>
      <c r="J286" s="1"/>
      <c r="K286" s="1"/>
      <c r="L286" s="1"/>
      <c r="M286" s="1"/>
    </row>
    <row r="287" spans="1:13" ht="13.2" x14ac:dyDescent="0.25">
      <c r="A287" s="1"/>
      <c r="B287" s="1"/>
      <c r="C287" s="1"/>
      <c r="D287" s="1"/>
      <c r="E287" s="1"/>
      <c r="F287" s="1"/>
      <c r="G287" s="1"/>
      <c r="H287" s="1"/>
      <c r="I287" s="1"/>
      <c r="J287" s="1"/>
      <c r="K287" s="1"/>
      <c r="L287" s="1"/>
      <c r="M287" s="1"/>
    </row>
    <row r="288" spans="1:13" ht="13.2" x14ac:dyDescent="0.25">
      <c r="A288" s="1"/>
      <c r="B288" s="1"/>
      <c r="C288" s="1"/>
      <c r="D288" s="1"/>
      <c r="E288" s="1"/>
      <c r="F288" s="1"/>
      <c r="G288" s="1"/>
      <c r="H288" s="1"/>
      <c r="I288" s="1"/>
      <c r="J288" s="1"/>
      <c r="K288" s="1"/>
      <c r="L288" s="1"/>
      <c r="M288" s="1"/>
    </row>
    <row r="289" spans="1:13" ht="13.2" x14ac:dyDescent="0.25">
      <c r="A289" s="1"/>
      <c r="B289" s="1"/>
      <c r="C289" s="1"/>
      <c r="D289" s="1"/>
      <c r="E289" s="1"/>
      <c r="F289" s="1"/>
      <c r="G289" s="1"/>
      <c r="H289" s="1"/>
      <c r="I289" s="1"/>
      <c r="J289" s="1"/>
      <c r="K289" s="1"/>
      <c r="L289" s="1"/>
      <c r="M289" s="1"/>
    </row>
    <row r="290" spans="1:13" ht="13.2" x14ac:dyDescent="0.25">
      <c r="A290" s="1"/>
      <c r="B290" s="1"/>
      <c r="C290" s="1"/>
      <c r="D290" s="1"/>
      <c r="E290" s="1"/>
      <c r="F290" s="1"/>
      <c r="G290" s="1"/>
      <c r="H290" s="1"/>
      <c r="I290" s="1"/>
      <c r="J290" s="1"/>
      <c r="K290" s="1"/>
      <c r="L290" s="1"/>
      <c r="M290" s="1"/>
    </row>
    <row r="291" spans="1:13" ht="13.2" x14ac:dyDescent="0.25">
      <c r="A291" s="1"/>
      <c r="B291" s="1"/>
      <c r="C291" s="1"/>
      <c r="D291" s="1"/>
      <c r="E291" s="1"/>
      <c r="F291" s="1"/>
      <c r="G291" s="1"/>
      <c r="H291" s="1"/>
      <c r="I291" s="1"/>
      <c r="J291" s="1"/>
      <c r="K291" s="1"/>
      <c r="L291" s="1"/>
      <c r="M291" s="1"/>
    </row>
    <row r="292" spans="1:13" ht="13.2" x14ac:dyDescent="0.25">
      <c r="A292" s="1"/>
      <c r="B292" s="1"/>
      <c r="C292" s="1"/>
      <c r="D292" s="1"/>
      <c r="E292" s="1"/>
      <c r="F292" s="1"/>
      <c r="G292" s="1"/>
      <c r="H292" s="1"/>
      <c r="I292" s="1"/>
      <c r="J292" s="1"/>
      <c r="K292" s="1"/>
      <c r="L292" s="1"/>
      <c r="M292" s="1"/>
    </row>
    <row r="293" spans="1:13" ht="13.2" x14ac:dyDescent="0.25">
      <c r="A293" s="1"/>
      <c r="B293" s="1"/>
      <c r="C293" s="1"/>
      <c r="D293" s="1"/>
      <c r="E293" s="1"/>
      <c r="F293" s="1"/>
      <c r="G293" s="1"/>
      <c r="H293" s="1"/>
      <c r="I293" s="1"/>
      <c r="J293" s="1"/>
      <c r="K293" s="1"/>
      <c r="L293" s="1"/>
      <c r="M293" s="1"/>
    </row>
    <row r="294" spans="1:13" ht="13.2" x14ac:dyDescent="0.25">
      <c r="A294" s="1"/>
      <c r="B294" s="1"/>
      <c r="C294" s="1"/>
      <c r="D294" s="1"/>
      <c r="E294" s="1"/>
      <c r="F294" s="1"/>
      <c r="G294" s="1"/>
      <c r="H294" s="1"/>
      <c r="I294" s="1"/>
      <c r="J294" s="1"/>
      <c r="K294" s="1"/>
      <c r="L294" s="1"/>
      <c r="M294" s="1"/>
    </row>
    <row r="295" spans="1:13" ht="13.2" x14ac:dyDescent="0.25">
      <c r="A295" s="1"/>
      <c r="B295" s="1"/>
      <c r="C295" s="1"/>
      <c r="D295" s="1"/>
      <c r="E295" s="1"/>
      <c r="F295" s="1"/>
      <c r="G295" s="1"/>
      <c r="H295" s="1"/>
      <c r="I295" s="1"/>
      <c r="J295" s="1"/>
      <c r="K295" s="1"/>
      <c r="L295" s="1"/>
      <c r="M295" s="1"/>
    </row>
    <row r="296" spans="1:13" ht="13.2" x14ac:dyDescent="0.25">
      <c r="A296" s="1"/>
      <c r="B296" s="1"/>
      <c r="C296" s="1"/>
      <c r="D296" s="1"/>
      <c r="E296" s="1"/>
      <c r="F296" s="1"/>
      <c r="G296" s="1"/>
      <c r="H296" s="1"/>
      <c r="I296" s="1"/>
      <c r="J296" s="1"/>
      <c r="K296" s="1"/>
      <c r="L296" s="1"/>
      <c r="M296" s="1"/>
    </row>
    <row r="297" spans="1:13" ht="13.2" x14ac:dyDescent="0.25">
      <c r="A297" s="1"/>
      <c r="B297" s="1"/>
      <c r="C297" s="1"/>
      <c r="D297" s="1"/>
      <c r="E297" s="1"/>
      <c r="F297" s="1"/>
      <c r="G297" s="1"/>
      <c r="H297" s="1"/>
      <c r="I297" s="1"/>
      <c r="J297" s="1"/>
      <c r="K297" s="1"/>
      <c r="L297" s="1"/>
      <c r="M297" s="1"/>
    </row>
    <row r="298" spans="1:13" ht="13.2" x14ac:dyDescent="0.25">
      <c r="A298" s="1"/>
      <c r="B298" s="1"/>
      <c r="C298" s="1"/>
      <c r="D298" s="1"/>
      <c r="E298" s="1"/>
      <c r="F298" s="1"/>
      <c r="G298" s="1"/>
      <c r="H298" s="1"/>
      <c r="I298" s="1"/>
      <c r="J298" s="1"/>
      <c r="K298" s="1"/>
      <c r="L298" s="1"/>
      <c r="M298" s="1"/>
    </row>
    <row r="299" spans="1:13" ht="13.2" x14ac:dyDescent="0.25">
      <c r="A299" s="1"/>
      <c r="B299" s="1"/>
      <c r="C299" s="1"/>
      <c r="D299" s="1"/>
      <c r="E299" s="1"/>
      <c r="F299" s="1"/>
      <c r="G299" s="1"/>
      <c r="H299" s="1"/>
      <c r="I299" s="1"/>
      <c r="J299" s="1"/>
      <c r="K299" s="1"/>
      <c r="L299" s="1"/>
      <c r="M299" s="1"/>
    </row>
    <row r="300" spans="1:13" ht="13.2" x14ac:dyDescent="0.25">
      <c r="A300" s="1"/>
      <c r="B300" s="1"/>
      <c r="C300" s="1"/>
      <c r="D300" s="1"/>
      <c r="E300" s="1"/>
      <c r="F300" s="1"/>
      <c r="G300" s="1"/>
      <c r="H300" s="1"/>
      <c r="I300" s="1"/>
      <c r="J300" s="1"/>
      <c r="K300" s="1"/>
      <c r="L300" s="1"/>
      <c r="M300" s="1"/>
    </row>
    <row r="301" spans="1:13" ht="13.2" x14ac:dyDescent="0.25">
      <c r="A301" s="1"/>
      <c r="B301" s="1"/>
      <c r="C301" s="1"/>
      <c r="D301" s="1"/>
      <c r="E301" s="1"/>
      <c r="F301" s="1"/>
      <c r="G301" s="1"/>
      <c r="H301" s="1"/>
      <c r="I301" s="1"/>
      <c r="J301" s="1"/>
      <c r="K301" s="1"/>
      <c r="L301" s="1"/>
      <c r="M301" s="1"/>
    </row>
    <row r="302" spans="1:13" ht="13.2" x14ac:dyDescent="0.25">
      <c r="A302" s="1"/>
      <c r="B302" s="1"/>
      <c r="C302" s="1"/>
      <c r="D302" s="1"/>
      <c r="E302" s="1"/>
      <c r="F302" s="1"/>
      <c r="G302" s="1"/>
      <c r="H302" s="1"/>
      <c r="I302" s="1"/>
      <c r="J302" s="1"/>
      <c r="K302" s="1"/>
      <c r="L302" s="1"/>
      <c r="M302" s="1"/>
    </row>
    <row r="303" spans="1:13" ht="13.2" x14ac:dyDescent="0.25">
      <c r="A303" s="1"/>
      <c r="B303" s="1"/>
      <c r="C303" s="1"/>
      <c r="D303" s="1"/>
      <c r="E303" s="1"/>
      <c r="F303" s="1"/>
      <c r="G303" s="1"/>
      <c r="H303" s="1"/>
      <c r="I303" s="1"/>
      <c r="J303" s="1"/>
      <c r="K303" s="1"/>
      <c r="L303" s="1"/>
      <c r="M303" s="1"/>
    </row>
    <row r="304" spans="1:13" ht="13.2" x14ac:dyDescent="0.25">
      <c r="A304" s="1"/>
      <c r="B304" s="1"/>
      <c r="C304" s="1"/>
      <c r="D304" s="1"/>
      <c r="E304" s="1"/>
      <c r="F304" s="1"/>
      <c r="G304" s="1"/>
      <c r="H304" s="1"/>
      <c r="I304" s="1"/>
      <c r="J304" s="1"/>
      <c r="K304" s="1"/>
      <c r="L304" s="1"/>
      <c r="M304" s="1"/>
    </row>
    <row r="305" spans="1:13" ht="13.2" x14ac:dyDescent="0.25">
      <c r="A305" s="1"/>
      <c r="B305" s="1"/>
      <c r="C305" s="1"/>
      <c r="D305" s="1"/>
      <c r="E305" s="1"/>
      <c r="F305" s="1"/>
      <c r="G305" s="1"/>
      <c r="H305" s="1"/>
      <c r="I305" s="1"/>
      <c r="J305" s="1"/>
      <c r="K305" s="1"/>
      <c r="L305" s="1"/>
      <c r="M305" s="1"/>
    </row>
    <row r="306" spans="1:13" ht="13.2" x14ac:dyDescent="0.25">
      <c r="A306" s="1"/>
      <c r="B306" s="1"/>
      <c r="C306" s="1"/>
      <c r="D306" s="1"/>
      <c r="E306" s="1"/>
      <c r="F306" s="1"/>
      <c r="G306" s="1"/>
      <c r="H306" s="1"/>
      <c r="I306" s="1"/>
      <c r="J306" s="1"/>
      <c r="K306" s="1"/>
      <c r="L306" s="1"/>
      <c r="M306" s="1"/>
    </row>
    <row r="307" spans="1:13" ht="13.2" x14ac:dyDescent="0.25">
      <c r="A307" s="1"/>
      <c r="B307" s="1"/>
      <c r="C307" s="1"/>
      <c r="D307" s="1"/>
      <c r="E307" s="1"/>
      <c r="F307" s="1"/>
      <c r="G307" s="1"/>
      <c r="H307" s="1"/>
      <c r="I307" s="1"/>
      <c r="J307" s="1"/>
      <c r="K307" s="1"/>
      <c r="L307" s="1"/>
      <c r="M307" s="1"/>
    </row>
    <row r="308" spans="1:13" ht="13.2" x14ac:dyDescent="0.25">
      <c r="A308" s="1"/>
      <c r="B308" s="1"/>
      <c r="C308" s="1"/>
      <c r="D308" s="1"/>
      <c r="E308" s="1"/>
      <c r="F308" s="1"/>
      <c r="G308" s="1"/>
      <c r="H308" s="1"/>
      <c r="I308" s="1"/>
      <c r="J308" s="1"/>
      <c r="K308" s="1"/>
      <c r="L308" s="1"/>
      <c r="M308" s="1"/>
    </row>
    <row r="309" spans="1:13" ht="13.2" x14ac:dyDescent="0.25">
      <c r="A309" s="1"/>
      <c r="B309" s="1"/>
      <c r="C309" s="1"/>
      <c r="D309" s="1"/>
      <c r="E309" s="1"/>
      <c r="F309" s="1"/>
      <c r="G309" s="1"/>
      <c r="H309" s="1"/>
      <c r="I309" s="1"/>
      <c r="J309" s="1"/>
      <c r="K309" s="1"/>
      <c r="L309" s="1"/>
      <c r="M309" s="1"/>
    </row>
    <row r="310" spans="1:13" ht="13.2" x14ac:dyDescent="0.25">
      <c r="A310" s="1"/>
      <c r="B310" s="1"/>
      <c r="C310" s="1"/>
      <c r="D310" s="1"/>
      <c r="E310" s="1"/>
      <c r="F310" s="1"/>
      <c r="G310" s="1"/>
      <c r="H310" s="1"/>
      <c r="I310" s="1"/>
      <c r="J310" s="1"/>
      <c r="K310" s="1"/>
      <c r="L310" s="1"/>
      <c r="M310" s="1"/>
    </row>
    <row r="311" spans="1:13" ht="13.2" x14ac:dyDescent="0.25">
      <c r="A311" s="1"/>
      <c r="B311" s="1"/>
      <c r="C311" s="1"/>
      <c r="D311" s="1"/>
      <c r="E311" s="1"/>
      <c r="F311" s="1"/>
      <c r="G311" s="1"/>
      <c r="H311" s="1"/>
      <c r="I311" s="1"/>
      <c r="J311" s="1"/>
      <c r="K311" s="1"/>
      <c r="L311" s="1"/>
      <c r="M311" s="1"/>
    </row>
    <row r="312" spans="1:13" ht="13.2" x14ac:dyDescent="0.25">
      <c r="A312" s="1"/>
      <c r="B312" s="1"/>
      <c r="C312" s="1"/>
      <c r="D312" s="1"/>
      <c r="E312" s="1"/>
      <c r="F312" s="1"/>
      <c r="G312" s="1"/>
      <c r="H312" s="1"/>
      <c r="I312" s="1"/>
      <c r="J312" s="1"/>
      <c r="K312" s="1"/>
      <c r="L312" s="1"/>
      <c r="M312" s="1"/>
    </row>
    <row r="313" spans="1:13" ht="13.2" x14ac:dyDescent="0.25">
      <c r="A313" s="1"/>
      <c r="B313" s="1"/>
      <c r="C313" s="1"/>
      <c r="D313" s="1"/>
      <c r="E313" s="1"/>
      <c r="F313" s="1"/>
      <c r="G313" s="1"/>
      <c r="H313" s="1"/>
      <c r="I313" s="1"/>
      <c r="J313" s="1"/>
      <c r="K313" s="1"/>
      <c r="L313" s="1"/>
      <c r="M313" s="1"/>
    </row>
    <row r="314" spans="1:13" ht="13.2" x14ac:dyDescent="0.25">
      <c r="A314" s="1"/>
      <c r="B314" s="1"/>
      <c r="C314" s="1"/>
      <c r="D314" s="1"/>
      <c r="E314" s="1"/>
      <c r="F314" s="1"/>
      <c r="G314" s="1"/>
      <c r="H314" s="1"/>
      <c r="I314" s="1"/>
      <c r="J314" s="1"/>
      <c r="K314" s="1"/>
      <c r="L314" s="1"/>
      <c r="M314" s="1"/>
    </row>
    <row r="315" spans="1:13" ht="13.2" x14ac:dyDescent="0.25">
      <c r="A315" s="1"/>
      <c r="B315" s="1"/>
      <c r="C315" s="1"/>
      <c r="D315" s="1"/>
      <c r="E315" s="1"/>
      <c r="F315" s="1"/>
      <c r="G315" s="1"/>
      <c r="H315" s="1"/>
      <c r="I315" s="1"/>
      <c r="J315" s="1"/>
      <c r="K315" s="1"/>
      <c r="L315" s="1"/>
      <c r="M315" s="1"/>
    </row>
    <row r="316" spans="1:13" ht="13.2" x14ac:dyDescent="0.25">
      <c r="A316" s="1"/>
      <c r="B316" s="1"/>
      <c r="C316" s="1"/>
      <c r="D316" s="1"/>
      <c r="E316" s="1"/>
      <c r="F316" s="1"/>
      <c r="G316" s="1"/>
      <c r="H316" s="1"/>
      <c r="I316" s="1"/>
      <c r="J316" s="1"/>
      <c r="K316" s="1"/>
      <c r="L316" s="1"/>
      <c r="M316" s="1"/>
    </row>
    <row r="317" spans="1:13" ht="13.2" x14ac:dyDescent="0.25">
      <c r="A317" s="1"/>
      <c r="B317" s="1"/>
      <c r="C317" s="1"/>
      <c r="D317" s="1"/>
      <c r="E317" s="1"/>
      <c r="F317" s="1"/>
      <c r="G317" s="1"/>
      <c r="H317" s="1"/>
      <c r="I317" s="1"/>
      <c r="J317" s="1"/>
      <c r="K317" s="1"/>
      <c r="L317" s="1"/>
      <c r="M317" s="1"/>
    </row>
    <row r="318" spans="1:13" ht="13.2" x14ac:dyDescent="0.25">
      <c r="A318" s="1"/>
      <c r="B318" s="1"/>
      <c r="C318" s="1"/>
      <c r="D318" s="1"/>
      <c r="E318" s="1"/>
      <c r="F318" s="1"/>
      <c r="G318" s="1"/>
      <c r="H318" s="1"/>
      <c r="I318" s="1"/>
      <c r="J318" s="1"/>
      <c r="K318" s="1"/>
      <c r="L318" s="1"/>
      <c r="M318" s="1"/>
    </row>
    <row r="319" spans="1:13" ht="13.2" x14ac:dyDescent="0.25">
      <c r="A319" s="1"/>
      <c r="B319" s="1"/>
      <c r="C319" s="1"/>
      <c r="D319" s="1"/>
      <c r="E319" s="1"/>
      <c r="F319" s="1"/>
      <c r="G319" s="1"/>
      <c r="H319" s="1"/>
      <c r="I319" s="1"/>
      <c r="J319" s="1"/>
      <c r="K319" s="1"/>
      <c r="L319" s="1"/>
      <c r="M319" s="1"/>
    </row>
    <row r="320" spans="1:13" ht="13.2" x14ac:dyDescent="0.25">
      <c r="A320" s="1"/>
      <c r="B320" s="1"/>
      <c r="C320" s="1"/>
      <c r="D320" s="1"/>
      <c r="E320" s="1"/>
      <c r="F320" s="1"/>
      <c r="G320" s="1"/>
      <c r="H320" s="1"/>
      <c r="I320" s="1"/>
      <c r="J320" s="1"/>
      <c r="K320" s="1"/>
      <c r="L320" s="1"/>
      <c r="M320" s="1"/>
    </row>
    <row r="321" spans="1:13" ht="13.2" x14ac:dyDescent="0.25">
      <c r="A321" s="1"/>
      <c r="B321" s="1"/>
      <c r="C321" s="1"/>
      <c r="D321" s="1"/>
      <c r="E321" s="1"/>
      <c r="F321" s="1"/>
      <c r="G321" s="1"/>
      <c r="H321" s="1"/>
      <c r="I321" s="1"/>
      <c r="J321" s="1"/>
      <c r="K321" s="1"/>
      <c r="L321" s="1"/>
      <c r="M321" s="1"/>
    </row>
    <row r="322" spans="1:13" ht="13.2" x14ac:dyDescent="0.25">
      <c r="A322" s="1"/>
      <c r="B322" s="1"/>
      <c r="C322" s="1"/>
      <c r="D322" s="1"/>
      <c r="E322" s="1"/>
      <c r="F322" s="1"/>
      <c r="G322" s="1"/>
      <c r="H322" s="1"/>
      <c r="I322" s="1"/>
      <c r="J322" s="1"/>
      <c r="K322" s="1"/>
      <c r="L322" s="1"/>
      <c r="M322" s="1"/>
    </row>
    <row r="323" spans="1:13" ht="13.2" x14ac:dyDescent="0.25">
      <c r="A323" s="1"/>
      <c r="B323" s="1"/>
      <c r="C323" s="1"/>
      <c r="D323" s="1"/>
      <c r="E323" s="1"/>
      <c r="F323" s="1"/>
      <c r="G323" s="1"/>
      <c r="H323" s="1"/>
      <c r="I323" s="1"/>
      <c r="J323" s="1"/>
      <c r="K323" s="1"/>
      <c r="L323" s="1"/>
      <c r="M323" s="1"/>
    </row>
    <row r="324" spans="1:13" ht="13.2" x14ac:dyDescent="0.25">
      <c r="A324" s="1"/>
      <c r="B324" s="1"/>
      <c r="C324" s="1"/>
      <c r="D324" s="1"/>
      <c r="E324" s="1"/>
      <c r="F324" s="1"/>
      <c r="G324" s="1"/>
      <c r="H324" s="1"/>
      <c r="I324" s="1"/>
      <c r="J324" s="1"/>
      <c r="K324" s="1"/>
      <c r="L324" s="1"/>
      <c r="M324" s="1"/>
    </row>
    <row r="325" spans="1:13" ht="13.2" x14ac:dyDescent="0.25">
      <c r="A325" s="1"/>
      <c r="B325" s="1"/>
      <c r="C325" s="1"/>
      <c r="D325" s="1"/>
      <c r="E325" s="1"/>
      <c r="F325" s="1"/>
      <c r="G325" s="1"/>
      <c r="H325" s="1"/>
      <c r="I325" s="1"/>
      <c r="J325" s="1"/>
      <c r="K325" s="1"/>
      <c r="L325" s="1"/>
      <c r="M325" s="1"/>
    </row>
    <row r="326" spans="1:13" ht="13.2" x14ac:dyDescent="0.25">
      <c r="A326" s="1"/>
      <c r="B326" s="1"/>
      <c r="C326" s="1"/>
      <c r="D326" s="1"/>
      <c r="E326" s="1"/>
      <c r="F326" s="1"/>
      <c r="G326" s="1"/>
      <c r="H326" s="1"/>
      <c r="I326" s="1"/>
      <c r="J326" s="1"/>
      <c r="K326" s="1"/>
      <c r="L326" s="1"/>
      <c r="M326" s="1"/>
    </row>
    <row r="327" spans="1:13" ht="13.2" x14ac:dyDescent="0.25">
      <c r="A327" s="1"/>
      <c r="B327" s="1"/>
      <c r="C327" s="1"/>
      <c r="D327" s="1"/>
      <c r="E327" s="1"/>
      <c r="F327" s="1"/>
      <c r="G327" s="1"/>
      <c r="H327" s="1"/>
      <c r="I327" s="1"/>
      <c r="J327" s="1"/>
      <c r="K327" s="1"/>
      <c r="L327" s="1"/>
      <c r="M327" s="1"/>
    </row>
    <row r="328" spans="1:13" ht="13.2" x14ac:dyDescent="0.25">
      <c r="A328" s="1"/>
      <c r="B328" s="1"/>
      <c r="C328" s="1"/>
      <c r="D328" s="1"/>
      <c r="E328" s="1"/>
      <c r="F328" s="1"/>
      <c r="G328" s="1"/>
      <c r="H328" s="1"/>
      <c r="I328" s="1"/>
      <c r="J328" s="1"/>
      <c r="K328" s="1"/>
      <c r="L328" s="1"/>
      <c r="M328" s="1"/>
    </row>
    <row r="329" spans="1:13" ht="13.2" x14ac:dyDescent="0.25">
      <c r="A329" s="1"/>
      <c r="B329" s="1"/>
      <c r="C329" s="1"/>
      <c r="D329" s="1"/>
      <c r="E329" s="1"/>
      <c r="F329" s="1"/>
      <c r="G329" s="1"/>
      <c r="H329" s="1"/>
      <c r="I329" s="1"/>
      <c r="J329" s="1"/>
      <c r="K329" s="1"/>
      <c r="L329" s="1"/>
      <c r="M329" s="1"/>
    </row>
    <row r="330" spans="1:13" ht="13.2" x14ac:dyDescent="0.25">
      <c r="A330" s="1"/>
      <c r="B330" s="1"/>
      <c r="C330" s="1"/>
      <c r="D330" s="1"/>
      <c r="E330" s="1"/>
      <c r="F330" s="1"/>
      <c r="G330" s="1"/>
      <c r="H330" s="1"/>
      <c r="I330" s="1"/>
      <c r="J330" s="1"/>
      <c r="K330" s="1"/>
      <c r="L330" s="1"/>
      <c r="M330" s="1"/>
    </row>
    <row r="331" spans="1:13" ht="13.2" x14ac:dyDescent="0.25">
      <c r="A331" s="1"/>
      <c r="B331" s="1"/>
      <c r="C331" s="1"/>
      <c r="D331" s="1"/>
      <c r="E331" s="1"/>
      <c r="F331" s="1"/>
      <c r="G331" s="1"/>
      <c r="H331" s="1"/>
      <c r="I331" s="1"/>
      <c r="J331" s="1"/>
      <c r="K331" s="1"/>
      <c r="L331" s="1"/>
      <c r="M331" s="1"/>
    </row>
    <row r="332" spans="1:13" ht="13.2" x14ac:dyDescent="0.25">
      <c r="A332" s="1"/>
      <c r="B332" s="1"/>
      <c r="C332" s="1"/>
      <c r="D332" s="1"/>
      <c r="E332" s="1"/>
      <c r="F332" s="1"/>
      <c r="G332" s="1"/>
      <c r="H332" s="1"/>
      <c r="I332" s="1"/>
      <c r="J332" s="1"/>
      <c r="K332" s="1"/>
      <c r="L332" s="1"/>
      <c r="M332" s="1"/>
    </row>
    <row r="333" spans="1:13" ht="13.2" x14ac:dyDescent="0.25">
      <c r="A333" s="1"/>
      <c r="B333" s="1"/>
      <c r="C333" s="1"/>
      <c r="D333" s="1"/>
      <c r="E333" s="1"/>
      <c r="F333" s="1"/>
      <c r="G333" s="1"/>
      <c r="H333" s="1"/>
      <c r="I333" s="1"/>
      <c r="J333" s="1"/>
      <c r="K333" s="1"/>
      <c r="L333" s="1"/>
      <c r="M333" s="1"/>
    </row>
    <row r="334" spans="1:13" ht="13.2" x14ac:dyDescent="0.25">
      <c r="A334" s="1"/>
      <c r="B334" s="1"/>
      <c r="C334" s="1"/>
      <c r="D334" s="1"/>
      <c r="E334" s="1"/>
      <c r="F334" s="1"/>
      <c r="G334" s="1"/>
      <c r="H334" s="1"/>
      <c r="I334" s="1"/>
      <c r="J334" s="1"/>
      <c r="K334" s="1"/>
      <c r="L334" s="1"/>
      <c r="M334" s="1"/>
    </row>
    <row r="335" spans="1:13" ht="13.2" x14ac:dyDescent="0.25">
      <c r="A335" s="1"/>
      <c r="B335" s="1"/>
      <c r="C335" s="1"/>
      <c r="D335" s="1"/>
      <c r="E335" s="1"/>
      <c r="F335" s="1"/>
      <c r="G335" s="1"/>
      <c r="H335" s="1"/>
      <c r="I335" s="1"/>
      <c r="J335" s="1"/>
      <c r="K335" s="1"/>
      <c r="L335" s="1"/>
      <c r="M335" s="1"/>
    </row>
    <row r="336" spans="1:13" ht="13.2" x14ac:dyDescent="0.25">
      <c r="A336" s="1"/>
      <c r="B336" s="1"/>
      <c r="C336" s="1"/>
      <c r="D336" s="1"/>
      <c r="E336" s="1"/>
      <c r="F336" s="1"/>
      <c r="G336" s="1"/>
      <c r="H336" s="1"/>
      <c r="I336" s="1"/>
      <c r="J336" s="1"/>
      <c r="K336" s="1"/>
      <c r="L336" s="1"/>
      <c r="M336" s="1"/>
    </row>
    <row r="337" spans="1:13" ht="13.2" x14ac:dyDescent="0.25">
      <c r="A337" s="1"/>
      <c r="B337" s="1"/>
      <c r="C337" s="1"/>
      <c r="D337" s="1"/>
      <c r="E337" s="1"/>
      <c r="F337" s="1"/>
      <c r="G337" s="1"/>
      <c r="H337" s="1"/>
      <c r="I337" s="1"/>
      <c r="J337" s="1"/>
      <c r="K337" s="1"/>
      <c r="L337" s="1"/>
      <c r="M337" s="1"/>
    </row>
    <row r="338" spans="1:13" ht="13.2" x14ac:dyDescent="0.25">
      <c r="A338" s="1"/>
      <c r="B338" s="1"/>
      <c r="C338" s="1"/>
      <c r="D338" s="1"/>
      <c r="E338" s="1"/>
      <c r="F338" s="1"/>
      <c r="G338" s="1"/>
      <c r="H338" s="1"/>
      <c r="I338" s="1"/>
      <c r="J338" s="1"/>
      <c r="K338" s="1"/>
      <c r="L338" s="1"/>
      <c r="M338" s="1"/>
    </row>
    <row r="339" spans="1:13" ht="13.2" x14ac:dyDescent="0.25">
      <c r="A339" s="1"/>
      <c r="B339" s="1"/>
      <c r="C339" s="1"/>
      <c r="D339" s="1"/>
      <c r="E339" s="1"/>
      <c r="F339" s="1"/>
      <c r="G339" s="1"/>
      <c r="H339" s="1"/>
      <c r="I339" s="1"/>
      <c r="J339" s="1"/>
      <c r="K339" s="1"/>
      <c r="L339" s="1"/>
      <c r="M339" s="1"/>
    </row>
    <row r="340" spans="1:13" ht="13.2" x14ac:dyDescent="0.25">
      <c r="A340" s="1"/>
      <c r="B340" s="1"/>
      <c r="C340" s="1"/>
      <c r="D340" s="1"/>
      <c r="E340" s="1"/>
      <c r="F340" s="1"/>
      <c r="G340" s="1"/>
      <c r="H340" s="1"/>
      <c r="I340" s="1"/>
      <c r="J340" s="1"/>
      <c r="K340" s="1"/>
      <c r="L340" s="1"/>
      <c r="M340" s="1"/>
    </row>
    <row r="341" spans="1:13" ht="13.2" x14ac:dyDescent="0.25">
      <c r="A341" s="1"/>
      <c r="B341" s="1"/>
      <c r="C341" s="1"/>
      <c r="D341" s="1"/>
      <c r="E341" s="1"/>
      <c r="F341" s="1"/>
      <c r="G341" s="1"/>
      <c r="H341" s="1"/>
      <c r="I341" s="1"/>
      <c r="J341" s="1"/>
      <c r="K341" s="1"/>
      <c r="L341" s="1"/>
      <c r="M341" s="1"/>
    </row>
    <row r="342" spans="1:13" ht="13.2" x14ac:dyDescent="0.25">
      <c r="A342" s="1"/>
      <c r="B342" s="1"/>
      <c r="C342" s="1"/>
      <c r="D342" s="1"/>
      <c r="E342" s="1"/>
      <c r="F342" s="1"/>
      <c r="G342" s="1"/>
      <c r="H342" s="1"/>
      <c r="I342" s="1"/>
      <c r="J342" s="1"/>
      <c r="K342" s="1"/>
      <c r="L342" s="1"/>
      <c r="M342" s="1"/>
    </row>
    <row r="343" spans="1:13" ht="13.2" x14ac:dyDescent="0.25">
      <c r="A343" s="1"/>
      <c r="B343" s="1"/>
      <c r="C343" s="1"/>
      <c r="D343" s="1"/>
      <c r="E343" s="1"/>
      <c r="F343" s="1"/>
      <c r="G343" s="1"/>
      <c r="H343" s="1"/>
      <c r="I343" s="1"/>
      <c r="J343" s="1"/>
      <c r="K343" s="1"/>
      <c r="L343" s="1"/>
      <c r="M343" s="1"/>
    </row>
    <row r="344" spans="1:13" ht="13.2" x14ac:dyDescent="0.25">
      <c r="A344" s="1"/>
      <c r="B344" s="1"/>
      <c r="C344" s="1"/>
      <c r="D344" s="1"/>
      <c r="E344" s="1"/>
      <c r="F344" s="1"/>
      <c r="G344" s="1"/>
      <c r="H344" s="1"/>
      <c r="I344" s="1"/>
      <c r="J344" s="1"/>
      <c r="K344" s="1"/>
      <c r="L344" s="1"/>
      <c r="M344" s="1"/>
    </row>
    <row r="345" spans="1:13" ht="13.2" x14ac:dyDescent="0.25">
      <c r="A345" s="1"/>
      <c r="B345" s="1"/>
      <c r="C345" s="1"/>
      <c r="D345" s="1"/>
      <c r="E345" s="1"/>
      <c r="F345" s="1"/>
      <c r="G345" s="1"/>
      <c r="H345" s="1"/>
      <c r="I345" s="1"/>
      <c r="J345" s="1"/>
      <c r="K345" s="1"/>
      <c r="L345" s="1"/>
      <c r="M345" s="1"/>
    </row>
    <row r="346" spans="1:13" ht="13.2" x14ac:dyDescent="0.25">
      <c r="A346" s="1"/>
      <c r="B346" s="1"/>
      <c r="C346" s="1"/>
      <c r="D346" s="1"/>
      <c r="E346" s="1"/>
      <c r="F346" s="1"/>
      <c r="G346" s="1"/>
      <c r="H346" s="1"/>
      <c r="I346" s="1"/>
      <c r="J346" s="1"/>
      <c r="K346" s="1"/>
      <c r="L346" s="1"/>
      <c r="M346" s="1"/>
    </row>
    <row r="347" spans="1:13" ht="13.2" x14ac:dyDescent="0.25">
      <c r="A347" s="1"/>
      <c r="B347" s="1"/>
      <c r="C347" s="1"/>
      <c r="D347" s="1"/>
      <c r="E347" s="1"/>
      <c r="F347" s="1"/>
      <c r="G347" s="1"/>
      <c r="H347" s="1"/>
      <c r="I347" s="1"/>
      <c r="J347" s="1"/>
      <c r="K347" s="1"/>
      <c r="L347" s="1"/>
      <c r="M347" s="1"/>
    </row>
    <row r="348" spans="1:13" ht="13.2" x14ac:dyDescent="0.25">
      <c r="A348" s="1"/>
      <c r="B348" s="1"/>
      <c r="C348" s="1"/>
      <c r="D348" s="1"/>
      <c r="E348" s="1"/>
      <c r="F348" s="1"/>
      <c r="G348" s="1"/>
      <c r="H348" s="1"/>
      <c r="I348" s="1"/>
      <c r="J348" s="1"/>
      <c r="K348" s="1"/>
      <c r="L348" s="1"/>
      <c r="M348" s="1"/>
    </row>
    <row r="349" spans="1:13" ht="13.2" x14ac:dyDescent="0.25">
      <c r="A349" s="1"/>
      <c r="B349" s="1"/>
      <c r="C349" s="1"/>
      <c r="D349" s="1"/>
      <c r="E349" s="1"/>
      <c r="F349" s="1"/>
      <c r="G349" s="1"/>
      <c r="H349" s="1"/>
      <c r="I349" s="1"/>
      <c r="J349" s="1"/>
      <c r="K349" s="1"/>
      <c r="L349" s="1"/>
      <c r="M349" s="1"/>
    </row>
    <row r="350" spans="1:13" ht="13.2" x14ac:dyDescent="0.25">
      <c r="A350" s="1"/>
      <c r="B350" s="1"/>
      <c r="C350" s="1"/>
      <c r="D350" s="1"/>
      <c r="E350" s="1"/>
      <c r="F350" s="1"/>
      <c r="G350" s="1"/>
      <c r="H350" s="1"/>
      <c r="I350" s="1"/>
      <c r="J350" s="1"/>
      <c r="K350" s="1"/>
      <c r="L350" s="1"/>
      <c r="M350" s="1"/>
    </row>
    <row r="351" spans="1:13" ht="13.2" x14ac:dyDescent="0.25">
      <c r="A351" s="1"/>
      <c r="B351" s="1"/>
      <c r="C351" s="1"/>
      <c r="D351" s="1"/>
      <c r="E351" s="1"/>
      <c r="F351" s="1"/>
      <c r="G351" s="1"/>
      <c r="H351" s="1"/>
      <c r="I351" s="1"/>
      <c r="J351" s="1"/>
      <c r="K351" s="1"/>
      <c r="L351" s="1"/>
      <c r="M351" s="1"/>
    </row>
    <row r="352" spans="1:13" ht="13.2" x14ac:dyDescent="0.25">
      <c r="A352" s="1"/>
      <c r="B352" s="1"/>
      <c r="C352" s="1"/>
      <c r="D352" s="1"/>
      <c r="E352" s="1"/>
      <c r="F352" s="1"/>
      <c r="G352" s="1"/>
      <c r="H352" s="1"/>
      <c r="I352" s="1"/>
      <c r="J352" s="1"/>
      <c r="K352" s="1"/>
      <c r="L352" s="1"/>
      <c r="M352" s="1"/>
    </row>
    <row r="353" spans="1:13" ht="13.2" x14ac:dyDescent="0.25">
      <c r="A353" s="1"/>
      <c r="B353" s="1"/>
      <c r="C353" s="1"/>
      <c r="D353" s="1"/>
      <c r="E353" s="1"/>
      <c r="F353" s="1"/>
      <c r="G353" s="1"/>
      <c r="H353" s="1"/>
      <c r="I353" s="1"/>
      <c r="J353" s="1"/>
      <c r="K353" s="1"/>
      <c r="L353" s="1"/>
      <c r="M353" s="1"/>
    </row>
    <row r="354" spans="1:13" ht="13.2" x14ac:dyDescent="0.25">
      <c r="A354" s="1"/>
      <c r="B354" s="1"/>
      <c r="C354" s="1"/>
      <c r="D354" s="1"/>
      <c r="E354" s="1"/>
      <c r="F354" s="1"/>
      <c r="G354" s="1"/>
      <c r="H354" s="1"/>
      <c r="I354" s="1"/>
      <c r="J354" s="1"/>
      <c r="K354" s="1"/>
      <c r="L354" s="1"/>
      <c r="M354" s="1"/>
    </row>
    <row r="355" spans="1:13" ht="13.2" x14ac:dyDescent="0.25">
      <c r="A355" s="1"/>
      <c r="B355" s="1"/>
      <c r="C355" s="1"/>
      <c r="D355" s="1"/>
      <c r="E355" s="1"/>
      <c r="F355" s="1"/>
      <c r="G355" s="1"/>
      <c r="H355" s="1"/>
      <c r="I355" s="1"/>
      <c r="J355" s="1"/>
      <c r="K355" s="1"/>
      <c r="L355" s="1"/>
      <c r="M355" s="1"/>
    </row>
    <row r="356" spans="1:13" ht="13.2" x14ac:dyDescent="0.25">
      <c r="A356" s="1"/>
      <c r="B356" s="1"/>
      <c r="C356" s="1"/>
      <c r="D356" s="1"/>
      <c r="E356" s="1"/>
      <c r="F356" s="1"/>
      <c r="G356" s="1"/>
      <c r="H356" s="1"/>
      <c r="I356" s="1"/>
      <c r="J356" s="1"/>
      <c r="K356" s="1"/>
      <c r="L356" s="1"/>
      <c r="M356" s="1"/>
    </row>
    <row r="357" spans="1:13" ht="13.2" x14ac:dyDescent="0.25">
      <c r="A357" s="1"/>
      <c r="B357" s="1"/>
      <c r="C357" s="1"/>
      <c r="D357" s="1"/>
      <c r="E357" s="1"/>
      <c r="F357" s="1"/>
      <c r="G357" s="1"/>
      <c r="H357" s="1"/>
      <c r="I357" s="1"/>
      <c r="J357" s="1"/>
      <c r="K357" s="1"/>
      <c r="L357" s="1"/>
      <c r="M357" s="1"/>
    </row>
    <row r="358" spans="1:13" ht="13.2" x14ac:dyDescent="0.25">
      <c r="A358" s="1"/>
      <c r="B358" s="1"/>
      <c r="C358" s="1"/>
      <c r="D358" s="1"/>
      <c r="E358" s="1"/>
      <c r="F358" s="1"/>
      <c r="G358" s="1"/>
      <c r="H358" s="1"/>
      <c r="I358" s="1"/>
      <c r="J358" s="1"/>
      <c r="K358" s="1"/>
      <c r="L358" s="1"/>
      <c r="M358" s="1"/>
    </row>
    <row r="359" spans="1:13" ht="13.2" x14ac:dyDescent="0.25">
      <c r="A359" s="1"/>
      <c r="B359" s="1"/>
      <c r="C359" s="1"/>
      <c r="D359" s="1"/>
      <c r="E359" s="1"/>
      <c r="F359" s="1"/>
      <c r="G359" s="1"/>
      <c r="H359" s="1"/>
      <c r="I359" s="1"/>
      <c r="J359" s="1"/>
      <c r="K359" s="1"/>
      <c r="L359" s="1"/>
      <c r="M359" s="1"/>
    </row>
    <row r="360" spans="1:13" ht="13.2" x14ac:dyDescent="0.25">
      <c r="A360" s="1"/>
      <c r="B360" s="1"/>
      <c r="C360" s="1"/>
      <c r="D360" s="1"/>
      <c r="E360" s="1"/>
      <c r="F360" s="1"/>
      <c r="G360" s="1"/>
      <c r="H360" s="1"/>
      <c r="I360" s="1"/>
      <c r="J360" s="1"/>
      <c r="K360" s="1"/>
      <c r="L360" s="1"/>
      <c r="M360" s="1"/>
    </row>
    <row r="361" spans="1:13" ht="13.2" x14ac:dyDescent="0.25">
      <c r="A361" s="1"/>
      <c r="B361" s="1"/>
      <c r="C361" s="1"/>
      <c r="D361" s="1"/>
      <c r="E361" s="1"/>
      <c r="F361" s="1"/>
      <c r="G361" s="1"/>
      <c r="H361" s="1"/>
      <c r="I361" s="1"/>
      <c r="J361" s="1"/>
      <c r="K361" s="1"/>
      <c r="L361" s="1"/>
      <c r="M361" s="1"/>
    </row>
    <row r="362" spans="1:13" ht="13.2" x14ac:dyDescent="0.25">
      <c r="A362" s="1"/>
      <c r="B362" s="1"/>
      <c r="C362" s="1"/>
      <c r="D362" s="1"/>
      <c r="E362" s="1"/>
      <c r="F362" s="1"/>
      <c r="G362" s="1"/>
      <c r="H362" s="1"/>
      <c r="I362" s="1"/>
      <c r="J362" s="1"/>
      <c r="K362" s="1"/>
      <c r="L362" s="1"/>
      <c r="M362" s="1"/>
    </row>
    <row r="363" spans="1:13" ht="13.2" x14ac:dyDescent="0.25">
      <c r="A363" s="1"/>
      <c r="B363" s="1"/>
      <c r="C363" s="1"/>
      <c r="D363" s="1"/>
      <c r="E363" s="1"/>
      <c r="F363" s="1"/>
      <c r="G363" s="1"/>
      <c r="H363" s="1"/>
      <c r="I363" s="1"/>
      <c r="J363" s="1"/>
      <c r="K363" s="1"/>
      <c r="L363" s="1"/>
      <c r="M363" s="1"/>
    </row>
    <row r="364" spans="1:13" ht="13.2" x14ac:dyDescent="0.25">
      <c r="A364" s="1"/>
      <c r="B364" s="1"/>
      <c r="C364" s="1"/>
      <c r="D364" s="1"/>
      <c r="E364" s="1"/>
      <c r="F364" s="1"/>
      <c r="G364" s="1"/>
      <c r="H364" s="1"/>
      <c r="I364" s="1"/>
      <c r="J364" s="1"/>
      <c r="K364" s="1"/>
      <c r="L364" s="1"/>
      <c r="M364" s="1"/>
    </row>
    <row r="365" spans="1:13" ht="13.2" x14ac:dyDescent="0.25">
      <c r="A365" s="1"/>
      <c r="B365" s="1"/>
      <c r="C365" s="1"/>
      <c r="D365" s="1"/>
      <c r="E365" s="1"/>
      <c r="F365" s="1"/>
      <c r="G365" s="1"/>
      <c r="H365" s="1"/>
      <c r="I365" s="1"/>
      <c r="J365" s="1"/>
      <c r="K365" s="1"/>
      <c r="L365" s="1"/>
      <c r="M365" s="1"/>
    </row>
    <row r="366" spans="1:13" ht="13.2" x14ac:dyDescent="0.25">
      <c r="A366" s="1"/>
      <c r="B366" s="1"/>
      <c r="C366" s="1"/>
      <c r="D366" s="1"/>
      <c r="E366" s="1"/>
      <c r="F366" s="1"/>
      <c r="G366" s="1"/>
      <c r="H366" s="1"/>
      <c r="I366" s="1"/>
      <c r="J366" s="1"/>
      <c r="K366" s="1"/>
      <c r="L366" s="1"/>
      <c r="M366" s="1"/>
    </row>
    <row r="367" spans="1:13" ht="13.2" x14ac:dyDescent="0.25">
      <c r="A367" s="1"/>
      <c r="B367" s="1"/>
      <c r="C367" s="1"/>
      <c r="D367" s="1"/>
      <c r="E367" s="1"/>
      <c r="F367" s="1"/>
      <c r="G367" s="1"/>
      <c r="H367" s="1"/>
      <c r="I367" s="1"/>
      <c r="J367" s="1"/>
      <c r="K367" s="1"/>
      <c r="L367" s="1"/>
      <c r="M367" s="1"/>
    </row>
    <row r="368" spans="1:13" ht="13.2" x14ac:dyDescent="0.25">
      <c r="A368" s="1"/>
      <c r="B368" s="1"/>
      <c r="C368" s="1"/>
      <c r="D368" s="1"/>
      <c r="E368" s="1"/>
      <c r="F368" s="1"/>
      <c r="G368" s="1"/>
      <c r="H368" s="1"/>
      <c r="I368" s="1"/>
      <c r="J368" s="1"/>
      <c r="K368" s="1"/>
      <c r="L368" s="1"/>
      <c r="M368" s="1"/>
    </row>
    <row r="369" spans="1:13" ht="13.2" x14ac:dyDescent="0.25">
      <c r="A369" s="1"/>
      <c r="B369" s="1"/>
      <c r="C369" s="1"/>
      <c r="D369" s="1"/>
      <c r="E369" s="1"/>
      <c r="F369" s="1"/>
      <c r="G369" s="1"/>
      <c r="H369" s="1"/>
      <c r="I369" s="1"/>
      <c r="J369" s="1"/>
      <c r="K369" s="1"/>
      <c r="L369" s="1"/>
      <c r="M369" s="1"/>
    </row>
    <row r="370" spans="1:13" ht="13.2" x14ac:dyDescent="0.25">
      <c r="A370" s="1"/>
      <c r="B370" s="1"/>
      <c r="C370" s="1"/>
      <c r="D370" s="1"/>
      <c r="E370" s="1"/>
      <c r="F370" s="1"/>
      <c r="G370" s="1"/>
      <c r="H370" s="1"/>
      <c r="I370" s="1"/>
      <c r="J370" s="1"/>
      <c r="K370" s="1"/>
      <c r="L370" s="1"/>
      <c r="M370" s="1"/>
    </row>
    <row r="371" spans="1:13" ht="13.2" x14ac:dyDescent="0.25">
      <c r="A371" s="1"/>
      <c r="B371" s="1"/>
      <c r="C371" s="1"/>
      <c r="D371" s="1"/>
      <c r="E371" s="1"/>
      <c r="F371" s="1"/>
      <c r="G371" s="1"/>
      <c r="H371" s="1"/>
      <c r="I371" s="1"/>
      <c r="J371" s="1"/>
      <c r="K371" s="1"/>
      <c r="L371" s="1"/>
      <c r="M371" s="1"/>
    </row>
    <row r="372" spans="1:13" ht="13.2" x14ac:dyDescent="0.25">
      <c r="A372" s="1"/>
      <c r="B372" s="1"/>
      <c r="C372" s="1"/>
      <c r="D372" s="1"/>
      <c r="E372" s="1"/>
      <c r="F372" s="1"/>
      <c r="G372" s="1"/>
      <c r="H372" s="1"/>
      <c r="I372" s="1"/>
      <c r="J372" s="1"/>
      <c r="K372" s="1"/>
      <c r="L372" s="1"/>
      <c r="M372" s="1"/>
    </row>
    <row r="373" spans="1:13" ht="13.2" x14ac:dyDescent="0.25">
      <c r="A373" s="1"/>
      <c r="B373" s="1"/>
      <c r="C373" s="1"/>
      <c r="D373" s="1"/>
      <c r="E373" s="1"/>
      <c r="F373" s="1"/>
      <c r="G373" s="1"/>
      <c r="H373" s="1"/>
      <c r="I373" s="1"/>
      <c r="J373" s="1"/>
      <c r="K373" s="1"/>
      <c r="L373" s="1"/>
      <c r="M373" s="1"/>
    </row>
    <row r="374" spans="1:13" ht="13.2" x14ac:dyDescent="0.25">
      <c r="A374" s="1"/>
      <c r="B374" s="1"/>
      <c r="C374" s="1"/>
      <c r="D374" s="1"/>
      <c r="E374" s="1"/>
      <c r="F374" s="1"/>
      <c r="G374" s="1"/>
      <c r="H374" s="1"/>
      <c r="I374" s="1"/>
      <c r="J374" s="1"/>
      <c r="K374" s="1"/>
      <c r="L374" s="1"/>
      <c r="M374" s="1"/>
    </row>
    <row r="375" spans="1:13" ht="13.2" x14ac:dyDescent="0.25">
      <c r="A375" s="1"/>
      <c r="B375" s="1"/>
      <c r="C375" s="1"/>
      <c r="D375" s="1"/>
      <c r="E375" s="1"/>
      <c r="F375" s="1"/>
      <c r="G375" s="1"/>
      <c r="H375" s="1"/>
      <c r="I375" s="1"/>
      <c r="J375" s="1"/>
      <c r="K375" s="1"/>
      <c r="L375" s="1"/>
      <c r="M375" s="1"/>
    </row>
    <row r="376" spans="1:13" ht="13.2" x14ac:dyDescent="0.25">
      <c r="A376" s="1"/>
      <c r="B376" s="1"/>
      <c r="C376" s="1"/>
      <c r="D376" s="1"/>
      <c r="E376" s="1"/>
      <c r="F376" s="1"/>
      <c r="G376" s="1"/>
      <c r="H376" s="1"/>
      <c r="I376" s="1"/>
      <c r="J376" s="1"/>
      <c r="K376" s="1"/>
      <c r="L376" s="1"/>
      <c r="M376" s="1"/>
    </row>
    <row r="377" spans="1:13" ht="13.2" x14ac:dyDescent="0.25">
      <c r="A377" s="1"/>
      <c r="B377" s="1"/>
      <c r="C377" s="1"/>
      <c r="D377" s="1"/>
      <c r="E377" s="1"/>
      <c r="F377" s="1"/>
      <c r="G377" s="1"/>
      <c r="H377" s="1"/>
      <c r="I377" s="1"/>
      <c r="J377" s="1"/>
      <c r="K377" s="1"/>
      <c r="L377" s="1"/>
      <c r="M377" s="1"/>
    </row>
    <row r="378" spans="1:13" ht="13.2" x14ac:dyDescent="0.25">
      <c r="A378" s="1"/>
      <c r="B378" s="1"/>
      <c r="C378" s="1"/>
      <c r="D378" s="1"/>
      <c r="E378" s="1"/>
      <c r="F378" s="1"/>
      <c r="G378" s="1"/>
      <c r="H378" s="1"/>
      <c r="I378" s="1"/>
      <c r="J378" s="1"/>
      <c r="K378" s="1"/>
      <c r="L378" s="1"/>
      <c r="M378" s="1"/>
    </row>
    <row r="379" spans="1:13" ht="13.2" x14ac:dyDescent="0.25">
      <c r="A379" s="1"/>
      <c r="B379" s="1"/>
      <c r="C379" s="1"/>
      <c r="D379" s="1"/>
      <c r="E379" s="1"/>
      <c r="F379" s="1"/>
      <c r="G379" s="1"/>
      <c r="H379" s="1"/>
      <c r="I379" s="1"/>
      <c r="J379" s="1"/>
      <c r="K379" s="1"/>
      <c r="L379" s="1"/>
      <c r="M379" s="1"/>
    </row>
    <row r="380" spans="1:13" ht="13.2" x14ac:dyDescent="0.25">
      <c r="A380" s="1"/>
      <c r="B380" s="1"/>
      <c r="C380" s="1"/>
      <c r="D380" s="1"/>
      <c r="E380" s="1"/>
      <c r="F380" s="1"/>
      <c r="G380" s="1"/>
      <c r="H380" s="1"/>
      <c r="I380" s="1"/>
      <c r="J380" s="1"/>
      <c r="K380" s="1"/>
      <c r="L380" s="1"/>
      <c r="M380" s="1"/>
    </row>
    <row r="381" spans="1:13" ht="13.2" x14ac:dyDescent="0.25">
      <c r="A381" s="1"/>
      <c r="B381" s="1"/>
      <c r="C381" s="1"/>
      <c r="D381" s="1"/>
      <c r="E381" s="1"/>
      <c r="F381" s="1"/>
      <c r="G381" s="1"/>
      <c r="H381" s="1"/>
      <c r="I381" s="1"/>
      <c r="J381" s="1"/>
      <c r="K381" s="1"/>
      <c r="L381" s="1"/>
      <c r="M381" s="1"/>
    </row>
    <row r="382" spans="1:13" ht="13.2" x14ac:dyDescent="0.25">
      <c r="A382" s="1"/>
      <c r="B382" s="1"/>
      <c r="C382" s="1"/>
      <c r="D382" s="1"/>
      <c r="E382" s="1"/>
      <c r="F382" s="1"/>
      <c r="G382" s="1"/>
      <c r="H382" s="1"/>
      <c r="I382" s="1"/>
      <c r="J382" s="1"/>
      <c r="K382" s="1"/>
      <c r="L382" s="1"/>
      <c r="M382" s="1"/>
    </row>
    <row r="383" spans="1:13" ht="13.2" x14ac:dyDescent="0.25">
      <c r="A383" s="1"/>
      <c r="B383" s="1"/>
      <c r="C383" s="1"/>
      <c r="D383" s="1"/>
      <c r="E383" s="1"/>
      <c r="F383" s="1"/>
      <c r="G383" s="1"/>
      <c r="H383" s="1"/>
      <c r="I383" s="1"/>
      <c r="J383" s="1"/>
      <c r="K383" s="1"/>
      <c r="L383" s="1"/>
      <c r="M383" s="1"/>
    </row>
    <row r="384" spans="1:13" ht="13.2" x14ac:dyDescent="0.25">
      <c r="A384" s="1"/>
      <c r="B384" s="1"/>
      <c r="C384" s="1"/>
      <c r="D384" s="1"/>
      <c r="E384" s="1"/>
      <c r="F384" s="1"/>
      <c r="G384" s="1"/>
      <c r="H384" s="1"/>
      <c r="I384" s="1"/>
      <c r="J384" s="1"/>
      <c r="K384" s="1"/>
      <c r="L384" s="1"/>
      <c r="M384" s="1"/>
    </row>
    <row r="385" spans="1:13" ht="13.2" x14ac:dyDescent="0.25">
      <c r="A385" s="1"/>
      <c r="B385" s="1"/>
      <c r="C385" s="1"/>
      <c r="D385" s="1"/>
      <c r="E385" s="1"/>
      <c r="F385" s="1"/>
      <c r="G385" s="1"/>
      <c r="H385" s="1"/>
      <c r="I385" s="1"/>
      <c r="J385" s="1"/>
      <c r="K385" s="1"/>
      <c r="L385" s="1"/>
      <c r="M385" s="1"/>
    </row>
    <row r="386" spans="1:13" ht="13.2" x14ac:dyDescent="0.25">
      <c r="A386" s="1"/>
      <c r="B386" s="1"/>
      <c r="C386" s="1"/>
      <c r="D386" s="1"/>
      <c r="E386" s="1"/>
      <c r="F386" s="1"/>
      <c r="G386" s="1"/>
      <c r="H386" s="1"/>
      <c r="I386" s="1"/>
      <c r="J386" s="1"/>
      <c r="K386" s="1"/>
      <c r="L386" s="1"/>
      <c r="M386" s="1"/>
    </row>
    <row r="387" spans="1:13" ht="13.2" x14ac:dyDescent="0.25">
      <c r="A387" s="1"/>
      <c r="B387" s="1"/>
      <c r="C387" s="1"/>
      <c r="D387" s="1"/>
      <c r="E387" s="1"/>
      <c r="F387" s="1"/>
      <c r="G387" s="1"/>
      <c r="H387" s="1"/>
      <c r="I387" s="1"/>
      <c r="J387" s="1"/>
      <c r="K387" s="1"/>
      <c r="L387" s="1"/>
      <c r="M387" s="1"/>
    </row>
    <row r="388" spans="1:13" ht="13.2" x14ac:dyDescent="0.25">
      <c r="A388" s="1"/>
      <c r="B388" s="1"/>
      <c r="C388" s="1"/>
      <c r="D388" s="1"/>
      <c r="E388" s="1"/>
      <c r="F388" s="1"/>
      <c r="G388" s="1"/>
      <c r="H388" s="1"/>
      <c r="I388" s="1"/>
      <c r="J388" s="1"/>
      <c r="K388" s="1"/>
      <c r="L388" s="1"/>
      <c r="M388" s="1"/>
    </row>
    <row r="389" spans="1:13" ht="13.2" x14ac:dyDescent="0.25">
      <c r="A389" s="1"/>
      <c r="B389" s="1"/>
      <c r="C389" s="1"/>
      <c r="D389" s="1"/>
      <c r="E389" s="1"/>
      <c r="F389" s="1"/>
      <c r="G389" s="1"/>
      <c r="H389" s="1"/>
      <c r="I389" s="1"/>
      <c r="J389" s="1"/>
      <c r="K389" s="1"/>
      <c r="L389" s="1"/>
      <c r="M389" s="1"/>
    </row>
    <row r="390" spans="1:13" ht="13.2" x14ac:dyDescent="0.25">
      <c r="A390" s="1"/>
      <c r="B390" s="1"/>
      <c r="C390" s="1"/>
      <c r="D390" s="1"/>
      <c r="E390" s="1"/>
      <c r="F390" s="1"/>
      <c r="G390" s="1"/>
      <c r="H390" s="1"/>
      <c r="I390" s="1"/>
      <c r="J390" s="1"/>
      <c r="K390" s="1"/>
      <c r="L390" s="1"/>
      <c r="M390" s="1"/>
    </row>
    <row r="391" spans="1:13" ht="13.2" x14ac:dyDescent="0.25">
      <c r="A391" s="1"/>
      <c r="B391" s="1"/>
      <c r="C391" s="1"/>
      <c r="D391" s="1"/>
      <c r="E391" s="1"/>
      <c r="F391" s="1"/>
      <c r="G391" s="1"/>
      <c r="H391" s="1"/>
      <c r="I391" s="1"/>
      <c r="J391" s="1"/>
      <c r="K391" s="1"/>
      <c r="L391" s="1"/>
      <c r="M391" s="1"/>
    </row>
    <row r="392" spans="1:13" ht="13.2" x14ac:dyDescent="0.25">
      <c r="A392" s="1"/>
      <c r="B392" s="1"/>
      <c r="C392" s="1"/>
      <c r="D392" s="1"/>
      <c r="E392" s="1"/>
      <c r="F392" s="1"/>
      <c r="G392" s="1"/>
      <c r="H392" s="1"/>
      <c r="I392" s="1"/>
      <c r="J392" s="1"/>
      <c r="K392" s="1"/>
      <c r="L392" s="1"/>
      <c r="M392" s="1"/>
    </row>
    <row r="393" spans="1:13" ht="13.2" x14ac:dyDescent="0.25">
      <c r="A393" s="1"/>
      <c r="B393" s="1"/>
      <c r="C393" s="1"/>
      <c r="D393" s="1"/>
      <c r="E393" s="1"/>
      <c r="F393" s="1"/>
      <c r="G393" s="1"/>
      <c r="H393" s="1"/>
      <c r="I393" s="1"/>
      <c r="J393" s="1"/>
      <c r="K393" s="1"/>
      <c r="L393" s="1"/>
      <c r="M393" s="1"/>
    </row>
    <row r="394" spans="1:13" ht="13.2" x14ac:dyDescent="0.25">
      <c r="A394" s="1"/>
      <c r="B394" s="1"/>
      <c r="C394" s="1"/>
      <c r="D394" s="1"/>
      <c r="E394" s="1"/>
      <c r="F394" s="1"/>
      <c r="G394" s="1"/>
      <c r="H394" s="1"/>
      <c r="I394" s="1"/>
      <c r="J394" s="1"/>
      <c r="K394" s="1"/>
      <c r="L394" s="1"/>
      <c r="M394" s="1"/>
    </row>
    <row r="395" spans="1:13" ht="13.2" x14ac:dyDescent="0.25">
      <c r="A395" s="1"/>
      <c r="B395" s="1"/>
      <c r="C395" s="1"/>
      <c r="D395" s="1"/>
      <c r="E395" s="1"/>
      <c r="F395" s="1"/>
      <c r="G395" s="1"/>
      <c r="H395" s="1"/>
      <c r="I395" s="1"/>
      <c r="J395" s="1"/>
      <c r="K395" s="1"/>
      <c r="L395" s="1"/>
      <c r="M395" s="1"/>
    </row>
    <row r="396" spans="1:13" ht="13.2" x14ac:dyDescent="0.25">
      <c r="A396" s="1"/>
      <c r="B396" s="1"/>
      <c r="C396" s="1"/>
      <c r="D396" s="1"/>
      <c r="E396" s="1"/>
      <c r="F396" s="1"/>
      <c r="G396" s="1"/>
      <c r="H396" s="1"/>
      <c r="I396" s="1"/>
      <c r="J396" s="1"/>
      <c r="K396" s="1"/>
      <c r="L396" s="1"/>
      <c r="M396" s="1"/>
    </row>
    <row r="397" spans="1:13" ht="13.2" x14ac:dyDescent="0.25">
      <c r="A397" s="1"/>
      <c r="B397" s="1"/>
      <c r="C397" s="1"/>
      <c r="D397" s="1"/>
      <c r="E397" s="1"/>
      <c r="F397" s="1"/>
      <c r="G397" s="1"/>
      <c r="H397" s="1"/>
      <c r="I397" s="1"/>
      <c r="J397" s="1"/>
      <c r="K397" s="1"/>
      <c r="L397" s="1"/>
      <c r="M397" s="1"/>
    </row>
    <row r="398" spans="1:13" ht="13.2" x14ac:dyDescent="0.25">
      <c r="A398" s="1"/>
      <c r="B398" s="1"/>
      <c r="C398" s="1"/>
      <c r="D398" s="1"/>
      <c r="E398" s="1"/>
      <c r="F398" s="1"/>
      <c r="G398" s="1"/>
      <c r="H398" s="1"/>
      <c r="I398" s="1"/>
      <c r="J398" s="1"/>
      <c r="K398" s="1"/>
      <c r="L398" s="1"/>
      <c r="M398" s="1"/>
    </row>
    <row r="399" spans="1:13" ht="13.2" x14ac:dyDescent="0.25">
      <c r="A399" s="1"/>
      <c r="B399" s="1"/>
      <c r="C399" s="1"/>
      <c r="D399" s="1"/>
      <c r="E399" s="1"/>
      <c r="F399" s="1"/>
      <c r="G399" s="1"/>
      <c r="H399" s="1"/>
      <c r="I399" s="1"/>
      <c r="J399" s="1"/>
      <c r="K399" s="1"/>
      <c r="L399" s="1"/>
      <c r="M399" s="1"/>
    </row>
    <row r="400" spans="1:13" ht="13.2" x14ac:dyDescent="0.25">
      <c r="A400" s="1"/>
      <c r="B400" s="1"/>
      <c r="C400" s="1"/>
      <c r="D400" s="1"/>
      <c r="E400" s="1"/>
      <c r="F400" s="1"/>
      <c r="G400" s="1"/>
      <c r="H400" s="1"/>
      <c r="I400" s="1"/>
      <c r="J400" s="1"/>
      <c r="K400" s="1"/>
      <c r="L400" s="1"/>
      <c r="M400" s="1"/>
    </row>
    <row r="401" spans="1:13" ht="13.2" x14ac:dyDescent="0.25">
      <c r="A401" s="1"/>
      <c r="B401" s="1"/>
      <c r="C401" s="1"/>
      <c r="D401" s="1"/>
      <c r="E401" s="1"/>
      <c r="F401" s="1"/>
      <c r="G401" s="1"/>
      <c r="H401" s="1"/>
      <c r="I401" s="1"/>
      <c r="J401" s="1"/>
      <c r="K401" s="1"/>
      <c r="L401" s="1"/>
      <c r="M401" s="1"/>
    </row>
    <row r="402" spans="1:13" ht="13.2" x14ac:dyDescent="0.25">
      <c r="A402" s="1"/>
      <c r="B402" s="1"/>
      <c r="C402" s="1"/>
      <c r="D402" s="1"/>
      <c r="E402" s="1"/>
      <c r="F402" s="1"/>
      <c r="G402" s="1"/>
      <c r="H402" s="1"/>
      <c r="I402" s="1"/>
      <c r="J402" s="1"/>
      <c r="K402" s="1"/>
      <c r="L402" s="1"/>
      <c r="M402" s="1"/>
    </row>
    <row r="403" spans="1:13" ht="13.2" x14ac:dyDescent="0.25">
      <c r="A403" s="1"/>
      <c r="B403" s="1"/>
      <c r="C403" s="1"/>
      <c r="D403" s="1"/>
      <c r="E403" s="1"/>
      <c r="F403" s="1"/>
      <c r="G403" s="1"/>
      <c r="H403" s="1"/>
      <c r="I403" s="1"/>
      <c r="J403" s="1"/>
      <c r="K403" s="1"/>
      <c r="L403" s="1"/>
      <c r="M403" s="1"/>
    </row>
    <row r="404" spans="1:13" ht="13.2" x14ac:dyDescent="0.25">
      <c r="A404" s="1"/>
      <c r="B404" s="1"/>
      <c r="C404" s="1"/>
      <c r="D404" s="1"/>
      <c r="E404" s="1"/>
      <c r="F404" s="1"/>
      <c r="G404" s="1"/>
      <c r="H404" s="1"/>
      <c r="I404" s="1"/>
      <c r="J404" s="1"/>
      <c r="K404" s="1"/>
      <c r="L404" s="1"/>
      <c r="M404" s="1"/>
    </row>
    <row r="405" spans="1:13" ht="13.2" x14ac:dyDescent="0.25">
      <c r="A405" s="1"/>
      <c r="B405" s="1"/>
      <c r="C405" s="1"/>
      <c r="D405" s="1"/>
      <c r="E405" s="1"/>
      <c r="F405" s="1"/>
      <c r="G405" s="1"/>
      <c r="H405" s="1"/>
      <c r="I405" s="1"/>
      <c r="J405" s="1"/>
      <c r="K405" s="1"/>
      <c r="L405" s="1"/>
      <c r="M405" s="1"/>
    </row>
    <row r="406" spans="1:13" ht="13.2" x14ac:dyDescent="0.25">
      <c r="A406" s="1"/>
      <c r="B406" s="1"/>
      <c r="C406" s="1"/>
      <c r="D406" s="1"/>
      <c r="E406" s="1"/>
      <c r="F406" s="1"/>
      <c r="G406" s="1"/>
      <c r="H406" s="1"/>
      <c r="I406" s="1"/>
      <c r="J406" s="1"/>
      <c r="K406" s="1"/>
      <c r="L406" s="1"/>
      <c r="M406" s="1"/>
    </row>
    <row r="407" spans="1:13" ht="13.2" x14ac:dyDescent="0.25">
      <c r="A407" s="1"/>
      <c r="B407" s="1"/>
      <c r="C407" s="1"/>
      <c r="D407" s="1"/>
      <c r="E407" s="1"/>
      <c r="F407" s="1"/>
      <c r="G407" s="1"/>
      <c r="H407" s="1"/>
      <c r="I407" s="1"/>
      <c r="J407" s="1"/>
      <c r="K407" s="1"/>
      <c r="L407" s="1"/>
      <c r="M407" s="1"/>
    </row>
    <row r="408" spans="1:13" ht="13.2" x14ac:dyDescent="0.25">
      <c r="A408" s="1"/>
      <c r="B408" s="1"/>
      <c r="C408" s="1"/>
      <c r="D408" s="1"/>
      <c r="E408" s="1"/>
      <c r="F408" s="1"/>
      <c r="G408" s="1"/>
      <c r="H408" s="1"/>
      <c r="I408" s="1"/>
      <c r="J408" s="1"/>
      <c r="K408" s="1"/>
      <c r="L408" s="1"/>
      <c r="M408" s="1"/>
    </row>
    <row r="409" spans="1:13" ht="13.2" x14ac:dyDescent="0.25">
      <c r="A409" s="1"/>
      <c r="B409" s="1"/>
      <c r="C409" s="1"/>
      <c r="D409" s="1"/>
      <c r="E409" s="1"/>
      <c r="F409" s="1"/>
      <c r="G409" s="1"/>
      <c r="H409" s="1"/>
      <c r="I409" s="1"/>
      <c r="J409" s="1"/>
      <c r="K409" s="1"/>
      <c r="L409" s="1"/>
      <c r="M409" s="1"/>
    </row>
    <row r="410" spans="1:13" ht="13.2" x14ac:dyDescent="0.25">
      <c r="A410" s="1"/>
      <c r="B410" s="1"/>
      <c r="C410" s="1"/>
      <c r="D410" s="1"/>
      <c r="E410" s="1"/>
      <c r="F410" s="1"/>
      <c r="G410" s="1"/>
      <c r="H410" s="1"/>
      <c r="I410" s="1"/>
      <c r="J410" s="1"/>
      <c r="K410" s="1"/>
      <c r="L410" s="1"/>
      <c r="M410" s="1"/>
    </row>
    <row r="411" spans="1:13" ht="13.2" x14ac:dyDescent="0.25">
      <c r="A411" s="1"/>
      <c r="B411" s="1"/>
      <c r="C411" s="1"/>
      <c r="D411" s="1"/>
      <c r="E411" s="1"/>
      <c r="F411" s="1"/>
      <c r="G411" s="1"/>
      <c r="H411" s="1"/>
      <c r="I411" s="1"/>
      <c r="J411" s="1"/>
      <c r="K411" s="1"/>
      <c r="L411" s="1"/>
      <c r="M411" s="1"/>
    </row>
    <row r="412" spans="1:13" ht="13.2" x14ac:dyDescent="0.25">
      <c r="A412" s="1"/>
      <c r="B412" s="1"/>
      <c r="C412" s="1"/>
      <c r="D412" s="1"/>
      <c r="E412" s="1"/>
      <c r="F412" s="1"/>
      <c r="G412" s="1"/>
      <c r="H412" s="1"/>
      <c r="I412" s="1"/>
      <c r="J412" s="1"/>
      <c r="K412" s="1"/>
      <c r="L412" s="1"/>
      <c r="M412" s="1"/>
    </row>
    <row r="413" spans="1:13" ht="13.2" x14ac:dyDescent="0.25">
      <c r="A413" s="1"/>
      <c r="B413" s="1"/>
      <c r="C413" s="1"/>
      <c r="D413" s="1"/>
      <c r="E413" s="1"/>
      <c r="F413" s="1"/>
      <c r="G413" s="1"/>
      <c r="H413" s="1"/>
      <c r="I413" s="1"/>
      <c r="J413" s="1"/>
      <c r="K413" s="1"/>
      <c r="L413" s="1"/>
      <c r="M413" s="1"/>
    </row>
    <row r="414" spans="1:13" ht="13.2" x14ac:dyDescent="0.25">
      <c r="A414" s="1"/>
      <c r="B414" s="1"/>
      <c r="C414" s="1"/>
      <c r="D414" s="1"/>
      <c r="E414" s="1"/>
      <c r="F414" s="1"/>
      <c r="G414" s="1"/>
      <c r="H414" s="1"/>
      <c r="I414" s="1"/>
      <c r="J414" s="1"/>
      <c r="K414" s="1"/>
      <c r="L414" s="1"/>
      <c r="M414" s="1"/>
    </row>
    <row r="415" spans="1:13" ht="13.2" x14ac:dyDescent="0.25">
      <c r="A415" s="1"/>
      <c r="B415" s="1"/>
      <c r="C415" s="1"/>
      <c r="D415" s="1"/>
      <c r="E415" s="1"/>
      <c r="F415" s="1"/>
      <c r="G415" s="1"/>
      <c r="H415" s="1"/>
      <c r="I415" s="1"/>
      <c r="J415" s="1"/>
      <c r="K415" s="1"/>
      <c r="L415" s="1"/>
      <c r="M415" s="1"/>
    </row>
    <row r="416" spans="1:13" ht="13.2" x14ac:dyDescent="0.25">
      <c r="A416" s="1"/>
      <c r="B416" s="1"/>
      <c r="C416" s="1"/>
      <c r="D416" s="1"/>
      <c r="E416" s="1"/>
      <c r="F416" s="1"/>
      <c r="G416" s="1"/>
      <c r="H416" s="1"/>
      <c r="I416" s="1"/>
      <c r="J416" s="1"/>
      <c r="K416" s="1"/>
      <c r="L416" s="1"/>
      <c r="M416" s="1"/>
    </row>
    <row r="417" spans="1:13" ht="13.2" x14ac:dyDescent="0.25">
      <c r="A417" s="1"/>
      <c r="B417" s="1"/>
      <c r="C417" s="1"/>
      <c r="D417" s="1"/>
      <c r="E417" s="1"/>
      <c r="F417" s="1"/>
      <c r="G417" s="1"/>
      <c r="H417" s="1"/>
      <c r="I417" s="1"/>
      <c r="J417" s="1"/>
      <c r="K417" s="1"/>
      <c r="L417" s="1"/>
      <c r="M417" s="1"/>
    </row>
    <row r="418" spans="1:13" ht="13.2" x14ac:dyDescent="0.25">
      <c r="A418" s="1"/>
      <c r="B418" s="1"/>
      <c r="C418" s="1"/>
      <c r="D418" s="1"/>
      <c r="E418" s="1"/>
      <c r="F418" s="1"/>
      <c r="G418" s="1"/>
      <c r="H418" s="1"/>
      <c r="I418" s="1"/>
      <c r="J418" s="1"/>
      <c r="K418" s="1"/>
      <c r="L418" s="1"/>
      <c r="M418" s="1"/>
    </row>
    <row r="419" spans="1:13" ht="13.2" x14ac:dyDescent="0.25">
      <c r="A419" s="1"/>
      <c r="B419" s="1"/>
      <c r="C419" s="1"/>
      <c r="D419" s="1"/>
      <c r="E419" s="1"/>
      <c r="F419" s="1"/>
      <c r="G419" s="1"/>
      <c r="H419" s="1"/>
      <c r="I419" s="1"/>
      <c r="J419" s="1"/>
      <c r="K419" s="1"/>
      <c r="L419" s="1"/>
      <c r="M419" s="1"/>
    </row>
    <row r="420" spans="1:13" ht="13.2" x14ac:dyDescent="0.25">
      <c r="A420" s="1"/>
      <c r="B420" s="1"/>
      <c r="C420" s="1"/>
      <c r="D420" s="1"/>
      <c r="E420" s="1"/>
      <c r="F420" s="1"/>
      <c r="G420" s="1"/>
      <c r="H420" s="1"/>
      <c r="I420" s="1"/>
      <c r="J420" s="1"/>
      <c r="K420" s="1"/>
      <c r="L420" s="1"/>
      <c r="M420" s="1"/>
    </row>
    <row r="421" spans="1:13" ht="13.2" x14ac:dyDescent="0.25">
      <c r="A421" s="1"/>
      <c r="B421" s="1"/>
      <c r="C421" s="1"/>
      <c r="D421" s="1"/>
      <c r="E421" s="1"/>
      <c r="F421" s="1"/>
      <c r="G421" s="1"/>
      <c r="H421" s="1"/>
      <c r="I421" s="1"/>
      <c r="J421" s="1"/>
      <c r="K421" s="1"/>
      <c r="L421" s="1"/>
      <c r="M421" s="1"/>
    </row>
    <row r="422" spans="1:13" ht="13.2" x14ac:dyDescent="0.25">
      <c r="A422" s="1"/>
      <c r="B422" s="1"/>
      <c r="C422" s="1"/>
      <c r="D422" s="1"/>
      <c r="E422" s="1"/>
      <c r="F422" s="1"/>
      <c r="G422" s="1"/>
      <c r="H422" s="1"/>
      <c r="I422" s="1"/>
      <c r="J422" s="1"/>
      <c r="K422" s="1"/>
      <c r="L422" s="1"/>
      <c r="M422" s="1"/>
    </row>
    <row r="423" spans="1:13" ht="13.2" x14ac:dyDescent="0.25">
      <c r="A423" s="1"/>
      <c r="B423" s="1"/>
      <c r="C423" s="1"/>
      <c r="D423" s="1"/>
      <c r="E423" s="1"/>
      <c r="F423" s="1"/>
      <c r="G423" s="1"/>
      <c r="H423" s="1"/>
      <c r="I423" s="1"/>
      <c r="J423" s="1"/>
      <c r="K423" s="1"/>
      <c r="L423" s="1"/>
      <c r="M423" s="1"/>
    </row>
    <row r="424" spans="1:13" ht="13.2" x14ac:dyDescent="0.25">
      <c r="A424" s="1"/>
      <c r="B424" s="1"/>
      <c r="C424" s="1"/>
      <c r="D424" s="1"/>
      <c r="E424" s="1"/>
      <c r="F424" s="1"/>
      <c r="G424" s="1"/>
      <c r="H424" s="1"/>
      <c r="I424" s="1"/>
      <c r="J424" s="1"/>
      <c r="K424" s="1"/>
      <c r="L424" s="1"/>
      <c r="M424" s="1"/>
    </row>
    <row r="425" spans="1:13" ht="13.2" x14ac:dyDescent="0.25">
      <c r="A425" s="1"/>
      <c r="B425" s="1"/>
      <c r="C425" s="1"/>
      <c r="D425" s="1"/>
      <c r="E425" s="1"/>
      <c r="F425" s="1"/>
      <c r="G425" s="1"/>
      <c r="H425" s="1"/>
      <c r="I425" s="1"/>
      <c r="J425" s="1"/>
      <c r="K425" s="1"/>
      <c r="L425" s="1"/>
      <c r="M425" s="1"/>
    </row>
    <row r="426" spans="1:13" ht="13.2" x14ac:dyDescent="0.25">
      <c r="A426" s="1"/>
      <c r="B426" s="1"/>
      <c r="C426" s="1"/>
      <c r="D426" s="1"/>
      <c r="E426" s="1"/>
      <c r="F426" s="1"/>
      <c r="G426" s="1"/>
      <c r="H426" s="1"/>
      <c r="I426" s="1"/>
      <c r="J426" s="1"/>
      <c r="K426" s="1"/>
      <c r="L426" s="1"/>
      <c r="M426" s="1"/>
    </row>
    <row r="427" spans="1:13" ht="13.2" x14ac:dyDescent="0.25">
      <c r="A427" s="1"/>
      <c r="B427" s="1"/>
      <c r="C427" s="1"/>
      <c r="D427" s="1"/>
      <c r="E427" s="1"/>
      <c r="F427" s="1"/>
      <c r="G427" s="1"/>
      <c r="H427" s="1"/>
      <c r="I427" s="1"/>
      <c r="J427" s="1"/>
      <c r="K427" s="1"/>
      <c r="L427" s="1"/>
      <c r="M427" s="1"/>
    </row>
    <row r="428" spans="1:13" ht="13.2" x14ac:dyDescent="0.25">
      <c r="A428" s="1"/>
      <c r="B428" s="1"/>
      <c r="C428" s="1"/>
      <c r="D428" s="1"/>
      <c r="E428" s="1"/>
      <c r="F428" s="1"/>
      <c r="G428" s="1"/>
      <c r="H428" s="1"/>
      <c r="I428" s="1"/>
      <c r="J428" s="1"/>
      <c r="K428" s="1"/>
      <c r="L428" s="1"/>
      <c r="M428" s="1"/>
    </row>
    <row r="429" spans="1:13" ht="13.2" x14ac:dyDescent="0.25">
      <c r="A429" s="1"/>
      <c r="B429" s="1"/>
      <c r="C429" s="1"/>
      <c r="D429" s="1"/>
      <c r="E429" s="1"/>
      <c r="F429" s="1"/>
      <c r="G429" s="1"/>
      <c r="H429" s="1"/>
      <c r="I429" s="1"/>
      <c r="J429" s="1"/>
      <c r="K429" s="1"/>
      <c r="L429" s="1"/>
      <c r="M429" s="1"/>
    </row>
    <row r="430" spans="1:13" ht="13.2" x14ac:dyDescent="0.25">
      <c r="A430" s="1"/>
      <c r="B430" s="1"/>
      <c r="C430" s="1"/>
      <c r="D430" s="1"/>
      <c r="E430" s="1"/>
      <c r="F430" s="1"/>
      <c r="G430" s="1"/>
      <c r="H430" s="1"/>
      <c r="I430" s="1"/>
      <c r="J430" s="1"/>
      <c r="K430" s="1"/>
      <c r="L430" s="1"/>
      <c r="M430" s="1"/>
    </row>
    <row r="431" spans="1:13" ht="13.2" x14ac:dyDescent="0.25">
      <c r="A431" s="1"/>
      <c r="B431" s="1"/>
      <c r="C431" s="1"/>
      <c r="D431" s="1"/>
      <c r="E431" s="1"/>
      <c r="F431" s="1"/>
      <c r="G431" s="1"/>
      <c r="H431" s="1"/>
      <c r="I431" s="1"/>
      <c r="J431" s="1"/>
      <c r="K431" s="1"/>
      <c r="L431" s="1"/>
      <c r="M431" s="1"/>
    </row>
    <row r="432" spans="1:13" ht="13.2" x14ac:dyDescent="0.25">
      <c r="A432" s="1"/>
      <c r="B432" s="1"/>
      <c r="C432" s="1"/>
      <c r="D432" s="1"/>
      <c r="E432" s="1"/>
      <c r="F432" s="1"/>
      <c r="G432" s="1"/>
      <c r="H432" s="1"/>
      <c r="I432" s="1"/>
      <c r="J432" s="1"/>
      <c r="K432" s="1"/>
      <c r="L432" s="1"/>
      <c r="M432" s="1"/>
    </row>
    <row r="433" spans="1:13" ht="13.2" x14ac:dyDescent="0.25">
      <c r="A433" s="1"/>
      <c r="B433" s="1"/>
      <c r="C433" s="1"/>
      <c r="D433" s="1"/>
      <c r="E433" s="1"/>
      <c r="F433" s="1"/>
      <c r="G433" s="1"/>
      <c r="H433" s="1"/>
      <c r="I433" s="1"/>
      <c r="J433" s="1"/>
      <c r="K433" s="1"/>
      <c r="L433" s="1"/>
      <c r="M433" s="1"/>
    </row>
    <row r="434" spans="1:13" ht="13.2" x14ac:dyDescent="0.25">
      <c r="A434" s="1"/>
      <c r="B434" s="1"/>
      <c r="C434" s="1"/>
      <c r="D434" s="1"/>
      <c r="E434" s="1"/>
      <c r="F434" s="1"/>
      <c r="G434" s="1"/>
      <c r="H434" s="1"/>
      <c r="I434" s="1"/>
      <c r="J434" s="1"/>
      <c r="K434" s="1"/>
      <c r="L434" s="1"/>
      <c r="M434" s="1"/>
    </row>
    <row r="435" spans="1:13" ht="13.2" x14ac:dyDescent="0.25">
      <c r="A435" s="1"/>
      <c r="B435" s="1"/>
      <c r="C435" s="1"/>
      <c r="D435" s="1"/>
      <c r="E435" s="1"/>
      <c r="F435" s="1"/>
      <c r="G435" s="1"/>
      <c r="H435" s="1"/>
      <c r="I435" s="1"/>
      <c r="J435" s="1"/>
      <c r="K435" s="1"/>
      <c r="L435" s="1"/>
      <c r="M435" s="1"/>
    </row>
    <row r="436" spans="1:13" ht="13.2" x14ac:dyDescent="0.25">
      <c r="A436" s="1"/>
      <c r="B436" s="1"/>
      <c r="C436" s="1"/>
      <c r="D436" s="1"/>
      <c r="E436" s="1"/>
      <c r="F436" s="1"/>
      <c r="G436" s="1"/>
      <c r="H436" s="1"/>
      <c r="I436" s="1"/>
      <c r="J436" s="1"/>
      <c r="K436" s="1"/>
      <c r="L436" s="1"/>
      <c r="M436" s="1"/>
    </row>
    <row r="437" spans="1:13" ht="13.2" x14ac:dyDescent="0.25">
      <c r="A437" s="1"/>
      <c r="B437" s="1"/>
      <c r="C437" s="1"/>
      <c r="D437" s="1"/>
      <c r="E437" s="1"/>
      <c r="F437" s="1"/>
      <c r="G437" s="1"/>
      <c r="H437" s="1"/>
      <c r="I437" s="1"/>
      <c r="J437" s="1"/>
      <c r="K437" s="1"/>
      <c r="L437" s="1"/>
      <c r="M437" s="1"/>
    </row>
    <row r="438" spans="1:13" ht="13.2" x14ac:dyDescent="0.25">
      <c r="A438" s="1"/>
      <c r="B438" s="1"/>
      <c r="C438" s="1"/>
      <c r="D438" s="1"/>
      <c r="E438" s="1"/>
      <c r="F438" s="1"/>
      <c r="G438" s="1"/>
      <c r="H438" s="1"/>
      <c r="I438" s="1"/>
      <c r="J438" s="1"/>
      <c r="K438" s="1"/>
      <c r="L438" s="1"/>
      <c r="M438" s="1"/>
    </row>
    <row r="439" spans="1:13" ht="13.2" x14ac:dyDescent="0.25">
      <c r="A439" s="1"/>
      <c r="B439" s="1"/>
      <c r="C439" s="1"/>
      <c r="D439" s="1"/>
      <c r="E439" s="1"/>
      <c r="F439" s="1"/>
      <c r="G439" s="1"/>
      <c r="H439" s="1"/>
      <c r="I439" s="1"/>
      <c r="J439" s="1"/>
      <c r="K439" s="1"/>
      <c r="L439" s="1"/>
      <c r="M439" s="1"/>
    </row>
    <row r="440" spans="1:13" ht="13.2" x14ac:dyDescent="0.25">
      <c r="A440" s="1"/>
      <c r="B440" s="1"/>
      <c r="C440" s="1"/>
      <c r="D440" s="1"/>
      <c r="E440" s="1"/>
      <c r="F440" s="1"/>
      <c r="G440" s="1"/>
      <c r="H440" s="1"/>
      <c r="I440" s="1"/>
      <c r="J440" s="1"/>
      <c r="K440" s="1"/>
      <c r="L440" s="1"/>
      <c r="M440" s="1"/>
    </row>
    <row r="441" spans="1:13" ht="13.2" x14ac:dyDescent="0.25">
      <c r="A441" s="1"/>
      <c r="B441" s="1"/>
      <c r="C441" s="1"/>
      <c r="D441" s="1"/>
      <c r="E441" s="1"/>
      <c r="F441" s="1"/>
      <c r="G441" s="1"/>
      <c r="H441" s="1"/>
      <c r="I441" s="1"/>
      <c r="J441" s="1"/>
      <c r="K441" s="1"/>
      <c r="L441" s="1"/>
      <c r="M441" s="1"/>
    </row>
    <row r="442" spans="1:13" ht="13.2" x14ac:dyDescent="0.25">
      <c r="A442" s="1"/>
      <c r="B442" s="1"/>
      <c r="C442" s="1"/>
      <c r="D442" s="1"/>
      <c r="E442" s="1"/>
      <c r="F442" s="1"/>
      <c r="G442" s="1"/>
      <c r="H442" s="1"/>
      <c r="I442" s="1"/>
      <c r="J442" s="1"/>
      <c r="K442" s="1"/>
      <c r="L442" s="1"/>
      <c r="M442" s="1"/>
    </row>
    <row r="443" spans="1:13" ht="13.2" x14ac:dyDescent="0.25">
      <c r="A443" s="1"/>
      <c r="B443" s="1"/>
      <c r="C443" s="1"/>
      <c r="D443" s="1"/>
      <c r="E443" s="1"/>
      <c r="F443" s="1"/>
      <c r="G443" s="1"/>
      <c r="H443" s="1"/>
      <c r="I443" s="1"/>
      <c r="J443" s="1"/>
      <c r="K443" s="1"/>
      <c r="L443" s="1"/>
      <c r="M443" s="1"/>
    </row>
    <row r="444" spans="1:13" ht="13.2" x14ac:dyDescent="0.25">
      <c r="A444" s="1"/>
      <c r="B444" s="1"/>
      <c r="C444" s="1"/>
      <c r="D444" s="1"/>
      <c r="E444" s="1"/>
      <c r="F444" s="1"/>
      <c r="G444" s="1"/>
      <c r="H444" s="1"/>
      <c r="I444" s="1"/>
      <c r="J444" s="1"/>
      <c r="K444" s="1"/>
      <c r="L444" s="1"/>
      <c r="M444" s="1"/>
    </row>
    <row r="445" spans="1:13" ht="13.2" x14ac:dyDescent="0.25">
      <c r="A445" s="1"/>
      <c r="B445" s="1"/>
      <c r="C445" s="1"/>
      <c r="D445" s="1"/>
      <c r="E445" s="1"/>
      <c r="F445" s="1"/>
      <c r="G445" s="1"/>
      <c r="H445" s="1"/>
      <c r="I445" s="1"/>
      <c r="J445" s="1"/>
      <c r="K445" s="1"/>
      <c r="L445" s="1"/>
      <c r="M445" s="1"/>
    </row>
    <row r="446" spans="1:13" ht="13.2" x14ac:dyDescent="0.25">
      <c r="A446" s="1"/>
      <c r="B446" s="1"/>
      <c r="C446" s="1"/>
      <c r="D446" s="1"/>
      <c r="E446" s="1"/>
      <c r="F446" s="1"/>
      <c r="G446" s="1"/>
      <c r="H446" s="1"/>
      <c r="I446" s="1"/>
      <c r="J446" s="1"/>
      <c r="K446" s="1"/>
      <c r="L446" s="1"/>
      <c r="M446" s="1"/>
    </row>
    <row r="447" spans="1:13" ht="13.2" x14ac:dyDescent="0.25">
      <c r="A447" s="1"/>
      <c r="B447" s="1"/>
      <c r="C447" s="1"/>
      <c r="D447" s="1"/>
      <c r="E447" s="1"/>
      <c r="F447" s="1"/>
      <c r="G447" s="1"/>
      <c r="H447" s="1"/>
      <c r="I447" s="1"/>
      <c r="J447" s="1"/>
      <c r="K447" s="1"/>
      <c r="L447" s="1"/>
      <c r="M447" s="1"/>
    </row>
    <row r="448" spans="1:13" ht="13.2" x14ac:dyDescent="0.25">
      <c r="A448" s="1"/>
      <c r="B448" s="1"/>
      <c r="C448" s="1"/>
      <c r="D448" s="1"/>
      <c r="E448" s="1"/>
      <c r="F448" s="1"/>
      <c r="G448" s="1"/>
      <c r="H448" s="1"/>
      <c r="I448" s="1"/>
      <c r="J448" s="1"/>
      <c r="K448" s="1"/>
      <c r="L448" s="1"/>
      <c r="M448" s="1"/>
    </row>
    <row r="449" spans="1:13" ht="13.2" x14ac:dyDescent="0.25">
      <c r="A449" s="1"/>
      <c r="B449" s="1"/>
      <c r="C449" s="1"/>
      <c r="D449" s="1"/>
      <c r="E449" s="1"/>
      <c r="F449" s="1"/>
      <c r="G449" s="1"/>
      <c r="H449" s="1"/>
      <c r="I449" s="1"/>
      <c r="J449" s="1"/>
      <c r="K449" s="1"/>
      <c r="L449" s="1"/>
      <c r="M449" s="1"/>
    </row>
    <row r="450" spans="1:13" ht="13.2" x14ac:dyDescent="0.25">
      <c r="A450" s="1"/>
      <c r="B450" s="1"/>
      <c r="C450" s="1"/>
      <c r="D450" s="1"/>
      <c r="E450" s="1"/>
      <c r="F450" s="1"/>
      <c r="G450" s="1"/>
      <c r="H450" s="1"/>
      <c r="I450" s="1"/>
      <c r="J450" s="1"/>
      <c r="K450" s="1"/>
      <c r="L450" s="1"/>
      <c r="M450" s="1"/>
    </row>
    <row r="451" spans="1:13" ht="13.2" x14ac:dyDescent="0.25">
      <c r="A451" s="1"/>
      <c r="B451" s="1"/>
      <c r="C451" s="1"/>
      <c r="D451" s="1"/>
      <c r="E451" s="1"/>
      <c r="F451" s="1"/>
      <c r="G451" s="1"/>
      <c r="H451" s="1"/>
      <c r="I451" s="1"/>
      <c r="J451" s="1"/>
      <c r="K451" s="1"/>
      <c r="L451" s="1"/>
      <c r="M451" s="1"/>
    </row>
    <row r="452" spans="1:13" ht="13.2" x14ac:dyDescent="0.25">
      <c r="A452" s="1"/>
      <c r="B452" s="1"/>
      <c r="C452" s="1"/>
      <c r="D452" s="1"/>
      <c r="E452" s="1"/>
      <c r="F452" s="1"/>
      <c r="G452" s="1"/>
      <c r="H452" s="1"/>
      <c r="I452" s="1"/>
      <c r="J452" s="1"/>
      <c r="K452" s="1"/>
      <c r="L452" s="1"/>
      <c r="M452" s="1"/>
    </row>
    <row r="453" spans="1:13" ht="13.2" x14ac:dyDescent="0.25">
      <c r="A453" s="1"/>
      <c r="B453" s="1"/>
      <c r="C453" s="1"/>
      <c r="D453" s="1"/>
      <c r="E453" s="1"/>
      <c r="F453" s="1"/>
      <c r="G453" s="1"/>
      <c r="H453" s="1"/>
      <c r="I453" s="1"/>
      <c r="J453" s="1"/>
      <c r="K453" s="1"/>
      <c r="L453" s="1"/>
      <c r="M453" s="1"/>
    </row>
    <row r="454" spans="1:13" ht="13.2" x14ac:dyDescent="0.25">
      <c r="A454" s="1"/>
      <c r="B454" s="1"/>
      <c r="C454" s="1"/>
      <c r="D454" s="1"/>
      <c r="E454" s="1"/>
      <c r="F454" s="1"/>
      <c r="G454" s="1"/>
      <c r="H454" s="1"/>
      <c r="I454" s="1"/>
      <c r="J454" s="1"/>
      <c r="K454" s="1"/>
      <c r="L454" s="1"/>
      <c r="M454" s="1"/>
    </row>
    <row r="455" spans="1:13" ht="13.2" x14ac:dyDescent="0.25">
      <c r="A455" s="1"/>
      <c r="B455" s="1"/>
      <c r="C455" s="1"/>
      <c r="D455" s="1"/>
      <c r="E455" s="1"/>
      <c r="F455" s="1"/>
      <c r="G455" s="1"/>
      <c r="H455" s="1"/>
      <c r="I455" s="1"/>
      <c r="J455" s="1"/>
      <c r="K455" s="1"/>
      <c r="L455" s="1"/>
      <c r="M455" s="1"/>
    </row>
    <row r="456" spans="1:13" ht="13.2" x14ac:dyDescent="0.25">
      <c r="A456" s="1"/>
      <c r="B456" s="1"/>
      <c r="C456" s="1"/>
      <c r="D456" s="1"/>
      <c r="E456" s="1"/>
      <c r="F456" s="1"/>
      <c r="G456" s="1"/>
      <c r="H456" s="1"/>
      <c r="I456" s="1"/>
      <c r="J456" s="1"/>
      <c r="K456" s="1"/>
      <c r="L456" s="1"/>
      <c r="M456" s="1"/>
    </row>
    <row r="457" spans="1:13" ht="13.2" x14ac:dyDescent="0.25">
      <c r="A457" s="1"/>
      <c r="B457" s="1"/>
      <c r="C457" s="1"/>
      <c r="D457" s="1"/>
      <c r="E457" s="1"/>
      <c r="F457" s="1"/>
      <c r="G457" s="1"/>
      <c r="H457" s="1"/>
      <c r="I457" s="1"/>
      <c r="J457" s="1"/>
      <c r="K457" s="1"/>
      <c r="L457" s="1"/>
      <c r="M457" s="1"/>
    </row>
    <row r="458" spans="1:13" ht="13.2" x14ac:dyDescent="0.25">
      <c r="A458" s="1"/>
      <c r="B458" s="1"/>
      <c r="C458" s="1"/>
      <c r="D458" s="1"/>
      <c r="E458" s="1"/>
      <c r="F458" s="1"/>
      <c r="G458" s="1"/>
      <c r="H458" s="1"/>
      <c r="I458" s="1"/>
      <c r="J458" s="1"/>
      <c r="K458" s="1"/>
      <c r="L458" s="1"/>
      <c r="M458" s="1"/>
    </row>
    <row r="459" spans="1:13" ht="13.2" x14ac:dyDescent="0.25">
      <c r="A459" s="1"/>
      <c r="B459" s="1"/>
      <c r="C459" s="1"/>
      <c r="D459" s="1"/>
      <c r="E459" s="1"/>
      <c r="F459" s="1"/>
      <c r="G459" s="1"/>
      <c r="H459" s="1"/>
      <c r="I459" s="1"/>
      <c r="J459" s="1"/>
      <c r="K459" s="1"/>
      <c r="L459" s="1"/>
      <c r="M459" s="1"/>
    </row>
    <row r="460" spans="1:13" ht="13.2" x14ac:dyDescent="0.25">
      <c r="A460" s="1"/>
      <c r="B460" s="1"/>
      <c r="C460" s="1"/>
      <c r="D460" s="1"/>
      <c r="E460" s="1"/>
      <c r="F460" s="1"/>
      <c r="G460" s="1"/>
      <c r="H460" s="1"/>
      <c r="I460" s="1"/>
      <c r="J460" s="1"/>
      <c r="K460" s="1"/>
      <c r="L460" s="1"/>
      <c r="M460" s="1"/>
    </row>
    <row r="461" spans="1:13" ht="13.2" x14ac:dyDescent="0.25">
      <c r="A461" s="1"/>
      <c r="B461" s="1"/>
      <c r="C461" s="1"/>
      <c r="D461" s="1"/>
      <c r="E461" s="1"/>
      <c r="F461" s="1"/>
      <c r="G461" s="1"/>
      <c r="H461" s="1"/>
      <c r="I461" s="1"/>
      <c r="J461" s="1"/>
      <c r="K461" s="1"/>
      <c r="L461" s="1"/>
      <c r="M461" s="1"/>
    </row>
    <row r="462" spans="1:13" ht="13.2" x14ac:dyDescent="0.25">
      <c r="A462" s="1"/>
      <c r="B462" s="1"/>
      <c r="C462" s="1"/>
      <c r="D462" s="1"/>
      <c r="E462" s="1"/>
      <c r="F462" s="1"/>
      <c r="G462" s="1"/>
      <c r="H462" s="1"/>
      <c r="I462" s="1"/>
      <c r="J462" s="1"/>
      <c r="K462" s="1"/>
      <c r="L462" s="1"/>
      <c r="M462" s="1"/>
    </row>
    <row r="463" spans="1:13" ht="13.2" x14ac:dyDescent="0.25">
      <c r="A463" s="1"/>
      <c r="B463" s="1"/>
      <c r="C463" s="1"/>
      <c r="D463" s="1"/>
      <c r="E463" s="1"/>
      <c r="F463" s="1"/>
      <c r="G463" s="1"/>
      <c r="H463" s="1"/>
      <c r="I463" s="1"/>
      <c r="J463" s="1"/>
      <c r="K463" s="1"/>
      <c r="L463" s="1"/>
      <c r="M463" s="1"/>
    </row>
    <row r="464" spans="1:13" ht="13.2" x14ac:dyDescent="0.25">
      <c r="A464" s="1"/>
      <c r="B464" s="1"/>
      <c r="C464" s="1"/>
      <c r="D464" s="1"/>
      <c r="E464" s="1"/>
      <c r="F464" s="1"/>
      <c r="G464" s="1"/>
      <c r="H464" s="1"/>
      <c r="I464" s="1"/>
      <c r="J464" s="1"/>
      <c r="K464" s="1"/>
      <c r="L464" s="1"/>
      <c r="M464" s="1"/>
    </row>
    <row r="465" spans="1:13" ht="13.2" x14ac:dyDescent="0.25">
      <c r="A465" s="1"/>
      <c r="B465" s="1"/>
      <c r="C465" s="1"/>
      <c r="D465" s="1"/>
      <c r="E465" s="1"/>
      <c r="F465" s="1"/>
      <c r="G465" s="1"/>
      <c r="H465" s="1"/>
      <c r="I465" s="1"/>
      <c r="J465" s="1"/>
      <c r="K465" s="1"/>
      <c r="L465" s="1"/>
      <c r="M465" s="1"/>
    </row>
    <row r="466" spans="1:13" ht="13.2" x14ac:dyDescent="0.25">
      <c r="A466" s="1"/>
      <c r="B466" s="1"/>
      <c r="C466" s="1"/>
      <c r="D466" s="1"/>
      <c r="E466" s="1"/>
      <c r="F466" s="1"/>
      <c r="G466" s="1"/>
      <c r="H466" s="1"/>
      <c r="I466" s="1"/>
      <c r="J466" s="1"/>
      <c r="K466" s="1"/>
      <c r="L466" s="1"/>
      <c r="M466" s="1"/>
    </row>
    <row r="467" spans="1:13" ht="13.2" x14ac:dyDescent="0.25">
      <c r="A467" s="1"/>
      <c r="B467" s="1"/>
      <c r="C467" s="1"/>
      <c r="D467" s="1"/>
      <c r="E467" s="1"/>
      <c r="F467" s="1"/>
      <c r="G467" s="1"/>
      <c r="H467" s="1"/>
      <c r="I467" s="1"/>
      <c r="J467" s="1"/>
      <c r="K467" s="1"/>
      <c r="L467" s="1"/>
      <c r="M467" s="1"/>
    </row>
    <row r="468" spans="1:13" ht="13.2" x14ac:dyDescent="0.25">
      <c r="A468" s="1"/>
      <c r="B468" s="1"/>
      <c r="C468" s="1"/>
      <c r="D468" s="1"/>
      <c r="E468" s="1"/>
      <c r="F468" s="1"/>
      <c r="G468" s="1"/>
      <c r="H468" s="1"/>
      <c r="I468" s="1"/>
      <c r="J468" s="1"/>
      <c r="K468" s="1"/>
      <c r="L468" s="1"/>
      <c r="M468" s="1"/>
    </row>
    <row r="469" spans="1:13" ht="13.2" x14ac:dyDescent="0.25">
      <c r="A469" s="1"/>
      <c r="B469" s="1"/>
      <c r="C469" s="1"/>
      <c r="D469" s="1"/>
      <c r="E469" s="1"/>
      <c r="F469" s="1"/>
      <c r="G469" s="1"/>
      <c r="H469" s="1"/>
      <c r="I469" s="1"/>
      <c r="J469" s="1"/>
      <c r="K469" s="1"/>
      <c r="L469" s="1"/>
      <c r="M469" s="1"/>
    </row>
    <row r="470" spans="1:13" ht="13.2" x14ac:dyDescent="0.25">
      <c r="A470" s="1"/>
      <c r="B470" s="1"/>
      <c r="C470" s="1"/>
      <c r="D470" s="1"/>
      <c r="E470" s="1"/>
      <c r="F470" s="1"/>
      <c r="G470" s="1"/>
      <c r="H470" s="1"/>
      <c r="I470" s="1"/>
      <c r="J470" s="1"/>
      <c r="K470" s="1"/>
      <c r="L470" s="1"/>
      <c r="M470" s="1"/>
    </row>
    <row r="471" spans="1:13" ht="13.2" x14ac:dyDescent="0.25">
      <c r="A471" s="1"/>
      <c r="B471" s="1"/>
      <c r="C471" s="1"/>
      <c r="D471" s="1"/>
      <c r="E471" s="1"/>
      <c r="F471" s="1"/>
      <c r="G471" s="1"/>
      <c r="H471" s="1"/>
      <c r="I471" s="1"/>
      <c r="J471" s="1"/>
      <c r="K471" s="1"/>
      <c r="L471" s="1"/>
      <c r="M471" s="1"/>
    </row>
    <row r="472" spans="1:13" ht="13.2" x14ac:dyDescent="0.25">
      <c r="A472" s="1"/>
      <c r="B472" s="1"/>
      <c r="C472" s="1"/>
      <c r="D472" s="1"/>
      <c r="E472" s="1"/>
      <c r="F472" s="1"/>
      <c r="G472" s="1"/>
      <c r="H472" s="1"/>
      <c r="I472" s="1"/>
      <c r="J472" s="1"/>
      <c r="K472" s="1"/>
      <c r="L472" s="1"/>
      <c r="M472" s="1"/>
    </row>
    <row r="473" spans="1:13" ht="13.2" x14ac:dyDescent="0.25">
      <c r="A473" s="1"/>
      <c r="B473" s="1"/>
      <c r="C473" s="1"/>
      <c r="D473" s="1"/>
      <c r="E473" s="1"/>
      <c r="F473" s="1"/>
      <c r="G473" s="1"/>
      <c r="H473" s="1"/>
      <c r="I473" s="1"/>
      <c r="J473" s="1"/>
      <c r="K473" s="1"/>
      <c r="L473" s="1"/>
      <c r="M473" s="1"/>
    </row>
    <row r="474" spans="1:13" ht="13.2" x14ac:dyDescent="0.25">
      <c r="A474" s="1"/>
      <c r="B474" s="1"/>
      <c r="C474" s="1"/>
      <c r="D474" s="1"/>
      <c r="E474" s="1"/>
      <c r="F474" s="1"/>
      <c r="G474" s="1"/>
      <c r="H474" s="1"/>
      <c r="I474" s="1"/>
      <c r="J474" s="1"/>
      <c r="K474" s="1"/>
      <c r="L474" s="1"/>
      <c r="M474" s="1"/>
    </row>
    <row r="475" spans="1:13" ht="13.2" x14ac:dyDescent="0.25">
      <c r="A475" s="1"/>
      <c r="B475" s="1"/>
      <c r="C475" s="1"/>
      <c r="D475" s="1"/>
      <c r="E475" s="1"/>
      <c r="F475" s="1"/>
      <c r="G475" s="1"/>
      <c r="H475" s="1"/>
      <c r="I475" s="1"/>
      <c r="J475" s="1"/>
      <c r="K475" s="1"/>
      <c r="L475" s="1"/>
      <c r="M475" s="1"/>
    </row>
    <row r="476" spans="1:13" ht="13.2" x14ac:dyDescent="0.25">
      <c r="A476" s="1"/>
      <c r="B476" s="1"/>
      <c r="C476" s="1"/>
      <c r="D476" s="1"/>
      <c r="E476" s="1"/>
      <c r="F476" s="1"/>
      <c r="G476" s="1"/>
      <c r="H476" s="1"/>
      <c r="I476" s="1"/>
      <c r="J476" s="1"/>
      <c r="K476" s="1"/>
      <c r="L476" s="1"/>
      <c r="M476" s="1"/>
    </row>
    <row r="477" spans="1:13" ht="13.2" x14ac:dyDescent="0.25">
      <c r="A477" s="1"/>
      <c r="B477" s="1"/>
      <c r="C477" s="1"/>
      <c r="D477" s="1"/>
      <c r="E477" s="1"/>
      <c r="F477" s="1"/>
      <c r="G477" s="1"/>
      <c r="H477" s="1"/>
      <c r="I477" s="1"/>
      <c r="J477" s="1"/>
      <c r="K477" s="1"/>
      <c r="L477" s="1"/>
      <c r="M477" s="1"/>
    </row>
    <row r="478" spans="1:13" ht="13.2" x14ac:dyDescent="0.25">
      <c r="A478" s="1"/>
      <c r="B478" s="1"/>
      <c r="C478" s="1"/>
      <c r="D478" s="1"/>
      <c r="E478" s="1"/>
      <c r="F478" s="1"/>
      <c r="G478" s="1"/>
      <c r="H478" s="1"/>
      <c r="I478" s="1"/>
      <c r="J478" s="1"/>
      <c r="K478" s="1"/>
      <c r="L478" s="1"/>
      <c r="M478" s="1"/>
    </row>
    <row r="479" spans="1:13" ht="13.2" x14ac:dyDescent="0.25">
      <c r="A479" s="1"/>
      <c r="B479" s="1"/>
      <c r="C479" s="1"/>
      <c r="D479" s="1"/>
      <c r="E479" s="1"/>
      <c r="F479" s="1"/>
      <c r="G479" s="1"/>
      <c r="H479" s="1"/>
      <c r="I479" s="1"/>
      <c r="J479" s="1"/>
      <c r="K479" s="1"/>
      <c r="L479" s="1"/>
      <c r="M479" s="1"/>
    </row>
    <row r="480" spans="1:13" ht="13.2" x14ac:dyDescent="0.25">
      <c r="A480" s="1"/>
      <c r="B480" s="1"/>
      <c r="C480" s="1"/>
      <c r="D480" s="1"/>
      <c r="E480" s="1"/>
      <c r="F480" s="1"/>
      <c r="G480" s="1"/>
      <c r="H480" s="1"/>
      <c r="I480" s="1"/>
      <c r="J480" s="1"/>
      <c r="K480" s="1"/>
      <c r="L480" s="1"/>
      <c r="M480" s="1"/>
    </row>
    <row r="481" spans="1:13" ht="13.2" x14ac:dyDescent="0.25">
      <c r="A481" s="1"/>
      <c r="B481" s="1"/>
      <c r="C481" s="1"/>
      <c r="D481" s="1"/>
      <c r="E481" s="1"/>
      <c r="F481" s="1"/>
      <c r="G481" s="1"/>
      <c r="H481" s="1"/>
      <c r="I481" s="1"/>
      <c r="J481" s="1"/>
      <c r="K481" s="1"/>
      <c r="L481" s="1"/>
      <c r="M481" s="1"/>
    </row>
    <row r="482" spans="1:13" ht="13.2" x14ac:dyDescent="0.25">
      <c r="A482" s="1"/>
      <c r="B482" s="1"/>
      <c r="C482" s="1"/>
      <c r="D482" s="1"/>
      <c r="E482" s="1"/>
      <c r="F482" s="1"/>
      <c r="G482" s="1"/>
      <c r="H482" s="1"/>
      <c r="I482" s="1"/>
      <c r="J482" s="1"/>
      <c r="K482" s="1"/>
      <c r="L482" s="1"/>
      <c r="M482" s="1"/>
    </row>
    <row r="483" spans="1:13" ht="13.2" x14ac:dyDescent="0.25">
      <c r="A483" s="1"/>
      <c r="B483" s="1"/>
      <c r="C483" s="1"/>
      <c r="D483" s="1"/>
      <c r="E483" s="1"/>
      <c r="F483" s="1"/>
      <c r="G483" s="1"/>
      <c r="H483" s="1"/>
      <c r="I483" s="1"/>
      <c r="J483" s="1"/>
      <c r="K483" s="1"/>
      <c r="L483" s="1"/>
      <c r="M483" s="1"/>
    </row>
    <row r="484" spans="1:13" ht="13.2" x14ac:dyDescent="0.25">
      <c r="A484" s="1"/>
      <c r="B484" s="1"/>
      <c r="C484" s="1"/>
      <c r="D484" s="1"/>
      <c r="E484" s="1"/>
      <c r="F484" s="1"/>
      <c r="G484" s="1"/>
      <c r="H484" s="1"/>
      <c r="I484" s="1"/>
      <c r="J484" s="1"/>
      <c r="K484" s="1"/>
      <c r="L484" s="1"/>
      <c r="M484" s="1"/>
    </row>
    <row r="485" spans="1:13" ht="13.2" x14ac:dyDescent="0.25">
      <c r="A485" s="1"/>
      <c r="B485" s="1"/>
      <c r="C485" s="1"/>
      <c r="D485" s="1"/>
      <c r="E485" s="1"/>
      <c r="F485" s="1"/>
      <c r="G485" s="1"/>
      <c r="H485" s="1"/>
      <c r="I485" s="1"/>
      <c r="J485" s="1"/>
      <c r="K485" s="1"/>
      <c r="L485" s="1"/>
      <c r="M485" s="1"/>
    </row>
    <row r="486" spans="1:13" ht="13.2" x14ac:dyDescent="0.25">
      <c r="A486" s="1"/>
      <c r="B486" s="1"/>
      <c r="C486" s="1"/>
      <c r="D486" s="1"/>
      <c r="E486" s="1"/>
      <c r="F486" s="1"/>
      <c r="G486" s="1"/>
      <c r="H486" s="1"/>
      <c r="I486" s="1"/>
      <c r="J486" s="1"/>
      <c r="K486" s="1"/>
      <c r="L486" s="1"/>
      <c r="M486" s="1"/>
    </row>
    <row r="487" spans="1:13" ht="13.2" x14ac:dyDescent="0.25">
      <c r="A487" s="1"/>
      <c r="B487" s="1"/>
      <c r="C487" s="1"/>
      <c r="D487" s="1"/>
      <c r="E487" s="1"/>
      <c r="F487" s="1"/>
      <c r="G487" s="1"/>
      <c r="H487" s="1"/>
      <c r="I487" s="1"/>
      <c r="J487" s="1"/>
      <c r="K487" s="1"/>
      <c r="L487" s="1"/>
      <c r="M487" s="1"/>
    </row>
    <row r="488" spans="1:13" ht="13.2" x14ac:dyDescent="0.25">
      <c r="A488" s="1"/>
      <c r="B488" s="1"/>
      <c r="C488" s="1"/>
      <c r="D488" s="1"/>
      <c r="E488" s="1"/>
      <c r="F488" s="1"/>
      <c r="G488" s="1"/>
      <c r="H488" s="1"/>
      <c r="I488" s="1"/>
      <c r="J488" s="1"/>
      <c r="K488" s="1"/>
      <c r="L488" s="1"/>
      <c r="M488" s="1"/>
    </row>
    <row r="489" spans="1:13" ht="13.2" x14ac:dyDescent="0.25">
      <c r="A489" s="1"/>
      <c r="B489" s="1"/>
      <c r="C489" s="1"/>
      <c r="D489" s="1"/>
      <c r="E489" s="1"/>
      <c r="F489" s="1"/>
      <c r="G489" s="1"/>
      <c r="H489" s="1"/>
      <c r="I489" s="1"/>
      <c r="J489" s="1"/>
      <c r="K489" s="1"/>
      <c r="L489" s="1"/>
      <c r="M489" s="1"/>
    </row>
    <row r="490" spans="1:13" ht="13.2" x14ac:dyDescent="0.25">
      <c r="A490" s="1"/>
      <c r="B490" s="1"/>
      <c r="C490" s="1"/>
      <c r="D490" s="1"/>
      <c r="E490" s="1"/>
      <c r="F490" s="1"/>
      <c r="G490" s="1"/>
      <c r="H490" s="1"/>
      <c r="I490" s="1"/>
      <c r="J490" s="1"/>
      <c r="K490" s="1"/>
      <c r="L490" s="1"/>
      <c r="M490" s="1"/>
    </row>
    <row r="491" spans="1:13" ht="13.2" x14ac:dyDescent="0.25">
      <c r="A491" s="1"/>
      <c r="B491" s="1"/>
      <c r="C491" s="1"/>
      <c r="D491" s="1"/>
      <c r="E491" s="1"/>
      <c r="F491" s="1"/>
      <c r="G491" s="1"/>
      <c r="H491" s="1"/>
      <c r="I491" s="1"/>
      <c r="J491" s="1"/>
      <c r="K491" s="1"/>
      <c r="L491" s="1"/>
      <c r="M491" s="1"/>
    </row>
    <row r="492" spans="1:13" ht="13.2" x14ac:dyDescent="0.25">
      <c r="A492" s="1"/>
      <c r="B492" s="1"/>
      <c r="C492" s="1"/>
      <c r="D492" s="1"/>
      <c r="E492" s="1"/>
      <c r="F492" s="1"/>
      <c r="G492" s="1"/>
      <c r="H492" s="1"/>
      <c r="I492" s="1"/>
      <c r="J492" s="1"/>
      <c r="K492" s="1"/>
      <c r="L492" s="1"/>
      <c r="M492" s="1"/>
    </row>
    <row r="493" spans="1:13" ht="13.2" x14ac:dyDescent="0.25">
      <c r="A493" s="1"/>
      <c r="B493" s="1"/>
      <c r="C493" s="1"/>
      <c r="D493" s="1"/>
      <c r="E493" s="1"/>
      <c r="F493" s="1"/>
      <c r="G493" s="1"/>
      <c r="H493" s="1"/>
      <c r="I493" s="1"/>
      <c r="J493" s="1"/>
      <c r="K493" s="1"/>
      <c r="L493" s="1"/>
      <c r="M493" s="1"/>
    </row>
    <row r="494" spans="1:13" ht="13.2" x14ac:dyDescent="0.25">
      <c r="A494" s="1"/>
      <c r="B494" s="1"/>
      <c r="C494" s="1"/>
      <c r="D494" s="1"/>
      <c r="E494" s="1"/>
      <c r="F494" s="1"/>
      <c r="G494" s="1"/>
      <c r="H494" s="1"/>
      <c r="I494" s="1"/>
      <c r="J494" s="1"/>
      <c r="K494" s="1"/>
      <c r="L494" s="1"/>
      <c r="M494" s="1"/>
    </row>
    <row r="495" spans="1:13" ht="13.2" x14ac:dyDescent="0.25">
      <c r="A495" s="1"/>
      <c r="B495" s="1"/>
      <c r="C495" s="1"/>
      <c r="D495" s="1"/>
      <c r="E495" s="1"/>
      <c r="F495" s="1"/>
      <c r="G495" s="1"/>
      <c r="H495" s="1"/>
      <c r="I495" s="1"/>
      <c r="J495" s="1"/>
      <c r="K495" s="1"/>
      <c r="L495" s="1"/>
      <c r="M495" s="1"/>
    </row>
    <row r="496" spans="1:13" ht="13.2" x14ac:dyDescent="0.25">
      <c r="A496" s="1"/>
      <c r="B496" s="1"/>
      <c r="C496" s="1"/>
      <c r="D496" s="1"/>
      <c r="E496" s="1"/>
      <c r="F496" s="1"/>
      <c r="G496" s="1"/>
      <c r="H496" s="1"/>
      <c r="I496" s="1"/>
      <c r="J496" s="1"/>
      <c r="K496" s="1"/>
      <c r="L496" s="1"/>
      <c r="M496" s="1"/>
    </row>
    <row r="497" spans="1:13" ht="13.2" x14ac:dyDescent="0.25">
      <c r="A497" s="1"/>
      <c r="B497" s="1"/>
      <c r="C497" s="1"/>
      <c r="D497" s="1"/>
      <c r="E497" s="1"/>
      <c r="F497" s="1"/>
      <c r="G497" s="1"/>
      <c r="H497" s="1"/>
      <c r="I497" s="1"/>
      <c r="J497" s="1"/>
      <c r="K497" s="1"/>
      <c r="L497" s="1"/>
      <c r="M497" s="1"/>
    </row>
    <row r="498" spans="1:13" ht="13.2" x14ac:dyDescent="0.25">
      <c r="A498" s="1"/>
      <c r="B498" s="1"/>
      <c r="C498" s="1"/>
      <c r="D498" s="1"/>
      <c r="E498" s="1"/>
      <c r="F498" s="1"/>
      <c r="G498" s="1"/>
      <c r="H498" s="1"/>
      <c r="I498" s="1"/>
      <c r="J498" s="1"/>
      <c r="K498" s="1"/>
      <c r="L498" s="1"/>
      <c r="M498" s="1"/>
    </row>
    <row r="499" spans="1:13" ht="13.2" x14ac:dyDescent="0.25">
      <c r="A499" s="1"/>
      <c r="B499" s="1"/>
      <c r="C499" s="1"/>
      <c r="D499" s="1"/>
      <c r="E499" s="1"/>
      <c r="F499" s="1"/>
      <c r="G499" s="1"/>
      <c r="H499" s="1"/>
      <c r="I499" s="1"/>
      <c r="J499" s="1"/>
      <c r="K499" s="1"/>
      <c r="L499" s="1"/>
      <c r="M499" s="1"/>
    </row>
    <row r="500" spans="1:13" ht="13.2" x14ac:dyDescent="0.25">
      <c r="A500" s="1"/>
      <c r="B500" s="1"/>
      <c r="C500" s="1"/>
      <c r="D500" s="1"/>
      <c r="E500" s="1"/>
      <c r="F500" s="1"/>
      <c r="G500" s="1"/>
      <c r="H500" s="1"/>
      <c r="I500" s="1"/>
      <c r="J500" s="1"/>
      <c r="K500" s="1"/>
      <c r="L500" s="1"/>
      <c r="M500" s="1"/>
    </row>
    <row r="501" spans="1:13" ht="13.2" x14ac:dyDescent="0.25">
      <c r="A501" s="1"/>
      <c r="B501" s="1"/>
      <c r="C501" s="1"/>
      <c r="D501" s="1"/>
      <c r="E501" s="1"/>
      <c r="F501" s="1"/>
      <c r="G501" s="1"/>
      <c r="H501" s="1"/>
      <c r="I501" s="1"/>
      <c r="J501" s="1"/>
      <c r="K501" s="1"/>
      <c r="L501" s="1"/>
      <c r="M501" s="1"/>
    </row>
    <row r="502" spans="1:13" ht="13.2" x14ac:dyDescent="0.25">
      <c r="A502" s="1"/>
      <c r="B502" s="1"/>
      <c r="C502" s="1"/>
      <c r="D502" s="1"/>
      <c r="E502" s="1"/>
      <c r="F502" s="1"/>
      <c r="G502" s="1"/>
      <c r="H502" s="1"/>
      <c r="I502" s="1"/>
      <c r="J502" s="1"/>
      <c r="K502" s="1"/>
      <c r="L502" s="1"/>
      <c r="M502" s="1"/>
    </row>
    <row r="503" spans="1:13" ht="13.2" x14ac:dyDescent="0.25">
      <c r="A503" s="1"/>
      <c r="B503" s="1"/>
      <c r="C503" s="1"/>
      <c r="D503" s="1"/>
      <c r="E503" s="1"/>
      <c r="F503" s="1"/>
      <c r="G503" s="1"/>
      <c r="H503" s="1"/>
      <c r="I503" s="1"/>
      <c r="J503" s="1"/>
      <c r="K503" s="1"/>
      <c r="L503" s="1"/>
      <c r="M503" s="1"/>
    </row>
    <row r="504" spans="1:13" ht="13.2" x14ac:dyDescent="0.25">
      <c r="A504" s="1"/>
      <c r="B504" s="1"/>
      <c r="C504" s="1"/>
      <c r="D504" s="1"/>
      <c r="E504" s="1"/>
      <c r="F504" s="1"/>
      <c r="G504" s="1"/>
      <c r="H504" s="1"/>
      <c r="I504" s="1"/>
      <c r="J504" s="1"/>
      <c r="K504" s="1"/>
      <c r="L504" s="1"/>
      <c r="M504" s="1"/>
    </row>
    <row r="505" spans="1:13" ht="13.2" x14ac:dyDescent="0.25">
      <c r="A505" s="1"/>
      <c r="B505" s="1"/>
      <c r="C505" s="1"/>
      <c r="D505" s="1"/>
      <c r="E505" s="1"/>
      <c r="F505" s="1"/>
      <c r="G505" s="1"/>
      <c r="H505" s="1"/>
      <c r="I505" s="1"/>
      <c r="J505" s="1"/>
      <c r="K505" s="1"/>
      <c r="L505" s="1"/>
      <c r="M505" s="1"/>
    </row>
    <row r="506" spans="1:13" ht="13.2" x14ac:dyDescent="0.25">
      <c r="A506" s="1"/>
      <c r="B506" s="1"/>
      <c r="C506" s="1"/>
      <c r="D506" s="1"/>
      <c r="E506" s="1"/>
      <c r="F506" s="1"/>
      <c r="G506" s="1"/>
      <c r="H506" s="1"/>
      <c r="I506" s="1"/>
      <c r="J506" s="1"/>
      <c r="K506" s="1"/>
      <c r="L506" s="1"/>
      <c r="M506" s="1"/>
    </row>
    <row r="507" spans="1:13" ht="13.2" x14ac:dyDescent="0.25">
      <c r="A507" s="1"/>
      <c r="B507" s="1"/>
      <c r="C507" s="1"/>
      <c r="D507" s="1"/>
      <c r="E507" s="1"/>
      <c r="F507" s="1"/>
      <c r="G507" s="1"/>
      <c r="H507" s="1"/>
      <c r="I507" s="1"/>
      <c r="J507" s="1"/>
      <c r="K507" s="1"/>
      <c r="L507" s="1"/>
      <c r="M507" s="1"/>
    </row>
    <row r="508" spans="1:13" ht="13.2" x14ac:dyDescent="0.25">
      <c r="A508" s="1"/>
      <c r="B508" s="1"/>
      <c r="C508" s="1"/>
      <c r="D508" s="1"/>
      <c r="E508" s="1"/>
      <c r="F508" s="1"/>
      <c r="G508" s="1"/>
      <c r="H508" s="1"/>
      <c r="I508" s="1"/>
      <c r="J508" s="1"/>
      <c r="K508" s="1"/>
      <c r="L508" s="1"/>
      <c r="M508" s="1"/>
    </row>
    <row r="509" spans="1:13" ht="13.2" x14ac:dyDescent="0.25">
      <c r="A509" s="1"/>
      <c r="B509" s="1"/>
      <c r="C509" s="1"/>
      <c r="D509" s="1"/>
      <c r="E509" s="1"/>
      <c r="F509" s="1"/>
      <c r="G509" s="1"/>
      <c r="H509" s="1"/>
      <c r="I509" s="1"/>
      <c r="J509" s="1"/>
      <c r="K509" s="1"/>
      <c r="L509" s="1"/>
      <c r="M509" s="1"/>
    </row>
    <row r="510" spans="1:13" ht="13.2" x14ac:dyDescent="0.25">
      <c r="A510" s="1"/>
      <c r="B510" s="1"/>
      <c r="C510" s="1"/>
      <c r="D510" s="1"/>
      <c r="E510" s="1"/>
      <c r="F510" s="1"/>
      <c r="G510" s="1"/>
      <c r="H510" s="1"/>
      <c r="I510" s="1"/>
      <c r="J510" s="1"/>
      <c r="K510" s="1"/>
      <c r="L510" s="1"/>
      <c r="M510" s="1"/>
    </row>
    <row r="511" spans="1:13" ht="13.2" x14ac:dyDescent="0.25">
      <c r="A511" s="1"/>
      <c r="B511" s="1"/>
      <c r="C511" s="1"/>
      <c r="D511" s="1"/>
      <c r="E511" s="1"/>
      <c r="F511" s="1"/>
      <c r="G511" s="1"/>
      <c r="H511" s="1"/>
      <c r="I511" s="1"/>
      <c r="J511" s="1"/>
      <c r="K511" s="1"/>
      <c r="L511" s="1"/>
      <c r="M511" s="1"/>
    </row>
    <row r="512" spans="1:13" ht="13.2" x14ac:dyDescent="0.25">
      <c r="A512" s="1"/>
      <c r="B512" s="1"/>
      <c r="C512" s="1"/>
      <c r="D512" s="1"/>
      <c r="E512" s="1"/>
      <c r="F512" s="1"/>
      <c r="G512" s="1"/>
      <c r="H512" s="1"/>
      <c r="I512" s="1"/>
      <c r="J512" s="1"/>
      <c r="K512" s="1"/>
      <c r="L512" s="1"/>
      <c r="M512" s="1"/>
    </row>
    <row r="513" spans="1:13" ht="13.2" x14ac:dyDescent="0.25">
      <c r="A513" s="1"/>
      <c r="B513" s="1"/>
      <c r="C513" s="1"/>
      <c r="D513" s="1"/>
      <c r="E513" s="1"/>
      <c r="F513" s="1"/>
      <c r="G513" s="1"/>
      <c r="H513" s="1"/>
      <c r="I513" s="1"/>
      <c r="J513" s="1"/>
      <c r="K513" s="1"/>
      <c r="L513" s="1"/>
      <c r="M513" s="1"/>
    </row>
    <row r="514" spans="1:13" ht="13.2" x14ac:dyDescent="0.25">
      <c r="A514" s="1"/>
      <c r="B514" s="1"/>
      <c r="C514" s="1"/>
      <c r="D514" s="1"/>
      <c r="E514" s="1"/>
      <c r="F514" s="1"/>
      <c r="G514" s="1"/>
      <c r="H514" s="1"/>
      <c r="I514" s="1"/>
      <c r="J514" s="1"/>
      <c r="K514" s="1"/>
      <c r="L514" s="1"/>
      <c r="M514" s="1"/>
    </row>
    <row r="515" spans="1:13" ht="13.2" x14ac:dyDescent="0.25">
      <c r="A515" s="1"/>
      <c r="B515" s="1"/>
      <c r="C515" s="1"/>
      <c r="D515" s="1"/>
      <c r="E515" s="1"/>
      <c r="F515" s="1"/>
      <c r="G515" s="1"/>
      <c r="H515" s="1"/>
      <c r="I515" s="1"/>
      <c r="J515" s="1"/>
      <c r="K515" s="1"/>
      <c r="L515" s="1"/>
      <c r="M515" s="1"/>
    </row>
    <row r="516" spans="1:13" ht="13.2" x14ac:dyDescent="0.25">
      <c r="A516" s="1"/>
      <c r="B516" s="1"/>
      <c r="C516" s="1"/>
      <c r="D516" s="1"/>
      <c r="E516" s="1"/>
      <c r="F516" s="1"/>
      <c r="G516" s="1"/>
      <c r="H516" s="1"/>
      <c r="I516" s="1"/>
      <c r="J516" s="1"/>
      <c r="K516" s="1"/>
      <c r="L516" s="1"/>
      <c r="M516" s="1"/>
    </row>
    <row r="517" spans="1:13" ht="13.2" x14ac:dyDescent="0.25">
      <c r="A517" s="1"/>
      <c r="B517" s="1"/>
      <c r="C517" s="1"/>
      <c r="D517" s="1"/>
      <c r="E517" s="1"/>
      <c r="F517" s="1"/>
      <c r="G517" s="1"/>
      <c r="H517" s="1"/>
      <c r="I517" s="1"/>
      <c r="J517" s="1"/>
      <c r="K517" s="1"/>
      <c r="L517" s="1"/>
      <c r="M517" s="1"/>
    </row>
    <row r="518" spans="1:13" ht="13.2" x14ac:dyDescent="0.25">
      <c r="A518" s="1"/>
      <c r="B518" s="1"/>
      <c r="C518" s="1"/>
      <c r="D518" s="1"/>
      <c r="E518" s="1"/>
      <c r="F518" s="1"/>
      <c r="G518" s="1"/>
      <c r="H518" s="1"/>
      <c r="I518" s="1"/>
      <c r="J518" s="1"/>
      <c r="K518" s="1"/>
      <c r="L518" s="1"/>
      <c r="M518" s="1"/>
    </row>
    <row r="519" spans="1:13" ht="13.2" x14ac:dyDescent="0.25">
      <c r="A519" s="1"/>
      <c r="B519" s="1"/>
      <c r="C519" s="1"/>
      <c r="D519" s="1"/>
      <c r="E519" s="1"/>
      <c r="F519" s="1"/>
      <c r="G519" s="1"/>
      <c r="H519" s="1"/>
      <c r="I519" s="1"/>
      <c r="J519" s="1"/>
      <c r="K519" s="1"/>
      <c r="L519" s="1"/>
      <c r="M519" s="1"/>
    </row>
    <row r="520" spans="1:13" ht="13.2" x14ac:dyDescent="0.25">
      <c r="A520" s="1"/>
      <c r="B520" s="1"/>
      <c r="C520" s="1"/>
      <c r="D520" s="1"/>
      <c r="E520" s="1"/>
      <c r="F520" s="1"/>
      <c r="G520" s="1"/>
      <c r="H520" s="1"/>
      <c r="I520" s="1"/>
      <c r="J520" s="1"/>
      <c r="K520" s="1"/>
      <c r="L520" s="1"/>
      <c r="M520" s="1"/>
    </row>
    <row r="521" spans="1:13" ht="13.2" x14ac:dyDescent="0.25">
      <c r="A521" s="1"/>
      <c r="B521" s="1"/>
      <c r="C521" s="1"/>
      <c r="D521" s="1"/>
      <c r="E521" s="1"/>
      <c r="F521" s="1"/>
      <c r="G521" s="1"/>
      <c r="H521" s="1"/>
      <c r="I521" s="1"/>
      <c r="J521" s="1"/>
      <c r="K521" s="1"/>
      <c r="L521" s="1"/>
      <c r="M521" s="1"/>
    </row>
    <row r="522" spans="1:13" ht="13.2" x14ac:dyDescent="0.25">
      <c r="A522" s="1"/>
      <c r="B522" s="1"/>
      <c r="C522" s="1"/>
      <c r="D522" s="1"/>
      <c r="E522" s="1"/>
      <c r="F522" s="1"/>
      <c r="G522" s="1"/>
      <c r="H522" s="1"/>
      <c r="I522" s="1"/>
      <c r="J522" s="1"/>
      <c r="K522" s="1"/>
      <c r="L522" s="1"/>
      <c r="M522" s="1"/>
    </row>
    <row r="523" spans="1:13" ht="13.2" x14ac:dyDescent="0.25">
      <c r="A523" s="1"/>
      <c r="B523" s="1"/>
      <c r="C523" s="1"/>
      <c r="D523" s="1"/>
      <c r="E523" s="1"/>
      <c r="F523" s="1"/>
      <c r="G523" s="1"/>
      <c r="H523" s="1"/>
      <c r="I523" s="1"/>
      <c r="J523" s="1"/>
      <c r="K523" s="1"/>
      <c r="L523" s="1"/>
      <c r="M523" s="1"/>
    </row>
    <row r="524" spans="1:13" ht="13.2" x14ac:dyDescent="0.25">
      <c r="A524" s="1"/>
      <c r="B524" s="1"/>
      <c r="C524" s="1"/>
      <c r="D524" s="1"/>
      <c r="E524" s="1"/>
      <c r="F524" s="1"/>
      <c r="G524" s="1"/>
      <c r="H524" s="1"/>
      <c r="I524" s="1"/>
      <c r="J524" s="1"/>
      <c r="K524" s="1"/>
      <c r="L524" s="1"/>
      <c r="M524" s="1"/>
    </row>
    <row r="525" spans="1:13" ht="13.2" x14ac:dyDescent="0.25">
      <c r="A525" s="1"/>
      <c r="B525" s="1"/>
      <c r="C525" s="1"/>
      <c r="D525" s="1"/>
      <c r="E525" s="1"/>
      <c r="F525" s="1"/>
      <c r="G525" s="1"/>
      <c r="H525" s="1"/>
      <c r="I525" s="1"/>
      <c r="J525" s="1"/>
      <c r="K525" s="1"/>
      <c r="L525" s="1"/>
      <c r="M525" s="1"/>
    </row>
    <row r="526" spans="1:13" ht="13.2" x14ac:dyDescent="0.25">
      <c r="A526" s="1"/>
      <c r="B526" s="1"/>
      <c r="C526" s="1"/>
      <c r="D526" s="1"/>
      <c r="E526" s="1"/>
      <c r="F526" s="1"/>
      <c r="G526" s="1"/>
      <c r="H526" s="1"/>
      <c r="I526" s="1"/>
      <c r="J526" s="1"/>
      <c r="K526" s="1"/>
      <c r="L526" s="1"/>
      <c r="M526" s="1"/>
    </row>
    <row r="527" spans="1:13" ht="13.2" x14ac:dyDescent="0.25">
      <c r="A527" s="1"/>
      <c r="B527" s="1"/>
      <c r="C527" s="1"/>
      <c r="D527" s="1"/>
      <c r="E527" s="1"/>
      <c r="F527" s="1"/>
      <c r="G527" s="1"/>
      <c r="H527" s="1"/>
      <c r="I527" s="1"/>
      <c r="J527" s="1"/>
      <c r="K527" s="1"/>
      <c r="L527" s="1"/>
      <c r="M527" s="1"/>
    </row>
    <row r="528" spans="1:13" ht="13.2" x14ac:dyDescent="0.25">
      <c r="A528" s="1"/>
      <c r="B528" s="1"/>
      <c r="C528" s="1"/>
      <c r="D528" s="1"/>
      <c r="E528" s="1"/>
      <c r="F528" s="1"/>
      <c r="G528" s="1"/>
      <c r="H528" s="1"/>
      <c r="I528" s="1"/>
      <c r="J528" s="1"/>
      <c r="K528" s="1"/>
      <c r="L528" s="1"/>
      <c r="M528" s="1"/>
    </row>
    <row r="529" spans="1:13" ht="13.2" x14ac:dyDescent="0.25">
      <c r="A529" s="1"/>
      <c r="B529" s="1"/>
      <c r="C529" s="1"/>
      <c r="D529" s="1"/>
      <c r="E529" s="1"/>
      <c r="F529" s="1"/>
      <c r="G529" s="1"/>
      <c r="H529" s="1"/>
      <c r="I529" s="1"/>
      <c r="J529" s="1"/>
      <c r="K529" s="1"/>
      <c r="L529" s="1"/>
      <c r="M529" s="1"/>
    </row>
    <row r="530" spans="1:13" ht="13.2" x14ac:dyDescent="0.25">
      <c r="A530" s="1"/>
      <c r="B530" s="1"/>
      <c r="C530" s="1"/>
      <c r="D530" s="1"/>
      <c r="E530" s="1"/>
      <c r="F530" s="1"/>
      <c r="G530" s="1"/>
      <c r="H530" s="1"/>
      <c r="I530" s="1"/>
      <c r="J530" s="1"/>
      <c r="K530" s="1"/>
      <c r="L530" s="1"/>
      <c r="M530" s="1"/>
    </row>
    <row r="531" spans="1:13" ht="13.2" x14ac:dyDescent="0.25">
      <c r="A531" s="1"/>
      <c r="B531" s="1"/>
      <c r="C531" s="1"/>
      <c r="D531" s="1"/>
      <c r="E531" s="1"/>
      <c r="F531" s="1"/>
      <c r="G531" s="1"/>
      <c r="H531" s="1"/>
      <c r="I531" s="1"/>
      <c r="J531" s="1"/>
      <c r="K531" s="1"/>
      <c r="L531" s="1"/>
      <c r="M531" s="1"/>
    </row>
    <row r="532" spans="1:13" ht="13.2" x14ac:dyDescent="0.25">
      <c r="A532" s="1"/>
      <c r="B532" s="1"/>
      <c r="C532" s="1"/>
      <c r="D532" s="1"/>
      <c r="E532" s="1"/>
      <c r="F532" s="1"/>
      <c r="G532" s="1"/>
      <c r="H532" s="1"/>
      <c r="I532" s="1"/>
      <c r="J532" s="1"/>
      <c r="K532" s="1"/>
      <c r="L532" s="1"/>
      <c r="M532" s="1"/>
    </row>
    <row r="533" spans="1:13" ht="13.2" x14ac:dyDescent="0.25">
      <c r="A533" s="1"/>
      <c r="B533" s="1"/>
      <c r="C533" s="1"/>
      <c r="D533" s="1"/>
      <c r="E533" s="1"/>
      <c r="F533" s="1"/>
      <c r="G533" s="1"/>
      <c r="H533" s="1"/>
      <c r="I533" s="1"/>
      <c r="J533" s="1"/>
      <c r="K533" s="1"/>
      <c r="L533" s="1"/>
      <c r="M533" s="1"/>
    </row>
    <row r="534" spans="1:13" ht="13.2" x14ac:dyDescent="0.25">
      <c r="A534" s="1"/>
      <c r="B534" s="1"/>
      <c r="C534" s="1"/>
      <c r="D534" s="1"/>
      <c r="E534" s="1"/>
      <c r="F534" s="1"/>
      <c r="G534" s="1"/>
      <c r="H534" s="1"/>
      <c r="I534" s="1"/>
      <c r="J534" s="1"/>
      <c r="K534" s="1"/>
      <c r="L534" s="1"/>
      <c r="M534" s="1"/>
    </row>
    <row r="535" spans="1:13" ht="13.2" x14ac:dyDescent="0.25">
      <c r="A535" s="1"/>
      <c r="B535" s="1"/>
      <c r="C535" s="1"/>
      <c r="D535" s="1"/>
      <c r="E535" s="1"/>
      <c r="F535" s="1"/>
      <c r="G535" s="1"/>
      <c r="H535" s="1"/>
      <c r="I535" s="1"/>
      <c r="J535" s="1"/>
      <c r="K535" s="1"/>
      <c r="L535" s="1"/>
      <c r="M535" s="1"/>
    </row>
    <row r="536" spans="1:13" ht="13.2" x14ac:dyDescent="0.25">
      <c r="A536" s="1"/>
      <c r="B536" s="1"/>
      <c r="C536" s="1"/>
      <c r="D536" s="1"/>
      <c r="E536" s="1"/>
      <c r="F536" s="1"/>
      <c r="G536" s="1"/>
      <c r="H536" s="1"/>
      <c r="I536" s="1"/>
      <c r="J536" s="1"/>
      <c r="K536" s="1"/>
      <c r="L536" s="1"/>
      <c r="M536" s="1"/>
    </row>
    <row r="537" spans="1:13" ht="13.2" x14ac:dyDescent="0.25">
      <c r="A537" s="1"/>
      <c r="B537" s="1"/>
      <c r="C537" s="1"/>
      <c r="D537" s="1"/>
      <c r="E537" s="1"/>
      <c r="F537" s="1"/>
      <c r="G537" s="1"/>
      <c r="H537" s="1"/>
      <c r="I537" s="1"/>
      <c r="J537" s="1"/>
      <c r="K537" s="1"/>
      <c r="L537" s="1"/>
      <c r="M537" s="1"/>
    </row>
    <row r="538" spans="1:13" ht="13.2" x14ac:dyDescent="0.25">
      <c r="A538" s="1"/>
      <c r="B538" s="1"/>
      <c r="C538" s="1"/>
      <c r="D538" s="1"/>
      <c r="E538" s="1"/>
      <c r="F538" s="1"/>
      <c r="G538" s="1"/>
      <c r="H538" s="1"/>
      <c r="I538" s="1"/>
      <c r="J538" s="1"/>
      <c r="K538" s="1"/>
      <c r="L538" s="1"/>
      <c r="M538" s="1"/>
    </row>
    <row r="539" spans="1:13" ht="13.2" x14ac:dyDescent="0.25">
      <c r="A539" s="1"/>
      <c r="B539" s="1"/>
      <c r="C539" s="1"/>
      <c r="D539" s="1"/>
      <c r="E539" s="1"/>
      <c r="F539" s="1"/>
      <c r="G539" s="1"/>
      <c r="H539" s="1"/>
      <c r="I539" s="1"/>
      <c r="J539" s="1"/>
      <c r="K539" s="1"/>
      <c r="L539" s="1"/>
      <c r="M539" s="1"/>
    </row>
    <row r="540" spans="1:13" ht="13.2" x14ac:dyDescent="0.25">
      <c r="A540" s="1"/>
      <c r="B540" s="1"/>
      <c r="C540" s="1"/>
      <c r="D540" s="1"/>
      <c r="E540" s="1"/>
      <c r="F540" s="1"/>
      <c r="G540" s="1"/>
      <c r="H540" s="1"/>
      <c r="I540" s="1"/>
      <c r="J540" s="1"/>
      <c r="K540" s="1"/>
      <c r="L540" s="1"/>
      <c r="M540" s="1"/>
    </row>
    <row r="541" spans="1:13" ht="13.2" x14ac:dyDescent="0.25">
      <c r="A541" s="1"/>
      <c r="B541" s="1"/>
      <c r="C541" s="1"/>
      <c r="D541" s="1"/>
      <c r="E541" s="1"/>
      <c r="F541" s="1"/>
      <c r="G541" s="1"/>
      <c r="H541" s="1"/>
      <c r="I541" s="1"/>
      <c r="J541" s="1"/>
      <c r="K541" s="1"/>
      <c r="L541" s="1"/>
      <c r="M541" s="1"/>
    </row>
    <row r="542" spans="1:13" ht="13.2" x14ac:dyDescent="0.25">
      <c r="A542" s="1"/>
      <c r="B542" s="1"/>
      <c r="C542" s="1"/>
      <c r="D542" s="1"/>
      <c r="E542" s="1"/>
      <c r="F542" s="1"/>
      <c r="G542" s="1"/>
      <c r="H542" s="1"/>
      <c r="I542" s="1"/>
      <c r="J542" s="1"/>
      <c r="K542" s="1"/>
      <c r="L542" s="1"/>
      <c r="M542" s="1"/>
    </row>
    <row r="543" spans="1:13" ht="13.2" x14ac:dyDescent="0.25">
      <c r="A543" s="1"/>
      <c r="B543" s="1"/>
      <c r="C543" s="1"/>
      <c r="D543" s="1"/>
      <c r="E543" s="1"/>
      <c r="F543" s="1"/>
      <c r="G543" s="1"/>
      <c r="H543" s="1"/>
      <c r="I543" s="1"/>
      <c r="J543" s="1"/>
      <c r="K543" s="1"/>
      <c r="L543" s="1"/>
      <c r="M543" s="1"/>
    </row>
    <row r="544" spans="1:13" ht="13.2" x14ac:dyDescent="0.25">
      <c r="A544" s="1"/>
      <c r="B544" s="1"/>
      <c r="C544" s="1"/>
      <c r="D544" s="1"/>
      <c r="E544" s="1"/>
      <c r="F544" s="1"/>
      <c r="G544" s="1"/>
      <c r="H544" s="1"/>
      <c r="I544" s="1"/>
      <c r="J544" s="1"/>
      <c r="K544" s="1"/>
      <c r="L544" s="1"/>
      <c r="M544" s="1"/>
    </row>
    <row r="545" spans="1:13" ht="13.2" x14ac:dyDescent="0.25">
      <c r="A545" s="1"/>
      <c r="B545" s="1"/>
      <c r="C545" s="1"/>
      <c r="D545" s="1"/>
      <c r="E545" s="1"/>
      <c r="F545" s="1"/>
      <c r="G545" s="1"/>
      <c r="H545" s="1"/>
      <c r="I545" s="1"/>
      <c r="J545" s="1"/>
      <c r="K545" s="1"/>
      <c r="L545" s="1"/>
      <c r="M545" s="1"/>
    </row>
    <row r="546" spans="1:13" ht="13.2" x14ac:dyDescent="0.25">
      <c r="A546" s="1"/>
      <c r="B546" s="1"/>
      <c r="C546" s="1"/>
      <c r="D546" s="1"/>
      <c r="E546" s="1"/>
      <c r="F546" s="1"/>
      <c r="G546" s="1"/>
      <c r="H546" s="1"/>
      <c r="I546" s="1"/>
      <c r="J546" s="1"/>
      <c r="K546" s="1"/>
      <c r="L546" s="1"/>
      <c r="M546" s="1"/>
    </row>
    <row r="547" spans="1:13" ht="13.2" x14ac:dyDescent="0.25">
      <c r="A547" s="1"/>
      <c r="B547" s="1"/>
      <c r="C547" s="1"/>
      <c r="D547" s="1"/>
      <c r="E547" s="1"/>
      <c r="F547" s="1"/>
      <c r="G547" s="1"/>
      <c r="H547" s="1"/>
      <c r="I547" s="1"/>
      <c r="J547" s="1"/>
      <c r="K547" s="1"/>
      <c r="L547" s="1"/>
      <c r="M547" s="1"/>
    </row>
    <row r="548" spans="1:13" ht="13.2" x14ac:dyDescent="0.25">
      <c r="A548" s="1"/>
      <c r="B548" s="1"/>
      <c r="C548" s="1"/>
      <c r="D548" s="1"/>
      <c r="E548" s="1"/>
      <c r="F548" s="1"/>
      <c r="G548" s="1"/>
      <c r="H548" s="1"/>
      <c r="I548" s="1"/>
      <c r="J548" s="1"/>
      <c r="K548" s="1"/>
      <c r="L548" s="1"/>
      <c r="M548" s="1"/>
    </row>
    <row r="549" spans="1:13" ht="13.2" x14ac:dyDescent="0.25">
      <c r="A549" s="1"/>
      <c r="B549" s="1"/>
      <c r="C549" s="1"/>
      <c r="D549" s="1"/>
      <c r="E549" s="1"/>
      <c r="F549" s="1"/>
      <c r="G549" s="1"/>
      <c r="H549" s="1"/>
      <c r="I549" s="1"/>
      <c r="J549" s="1"/>
      <c r="K549" s="1"/>
      <c r="L549" s="1"/>
      <c r="M549" s="1"/>
    </row>
    <row r="550" spans="1:13" ht="13.2" x14ac:dyDescent="0.25">
      <c r="A550" s="1"/>
      <c r="B550" s="1"/>
      <c r="C550" s="1"/>
      <c r="D550" s="1"/>
      <c r="E550" s="1"/>
      <c r="F550" s="1"/>
      <c r="G550" s="1"/>
      <c r="H550" s="1"/>
      <c r="I550" s="1"/>
      <c r="J550" s="1"/>
      <c r="K550" s="1"/>
      <c r="L550" s="1"/>
      <c r="M550" s="1"/>
    </row>
    <row r="551" spans="1:13" ht="13.2" x14ac:dyDescent="0.25">
      <c r="A551" s="1"/>
      <c r="B551" s="1"/>
      <c r="C551" s="1"/>
      <c r="D551" s="1"/>
      <c r="E551" s="1"/>
      <c r="F551" s="1"/>
      <c r="G551" s="1"/>
      <c r="H551" s="1"/>
      <c r="I551" s="1"/>
      <c r="J551" s="1"/>
      <c r="K551" s="1"/>
      <c r="L551" s="1"/>
      <c r="M551" s="1"/>
    </row>
    <row r="552" spans="1:13" ht="13.2" x14ac:dyDescent="0.25">
      <c r="A552" s="1"/>
      <c r="B552" s="1"/>
      <c r="C552" s="1"/>
      <c r="D552" s="1"/>
      <c r="E552" s="1"/>
      <c r="F552" s="1"/>
      <c r="G552" s="1"/>
      <c r="H552" s="1"/>
      <c r="I552" s="1"/>
      <c r="J552" s="1"/>
      <c r="K552" s="1"/>
      <c r="L552" s="1"/>
      <c r="M552" s="1"/>
    </row>
    <row r="553" spans="1:13" ht="13.2" x14ac:dyDescent="0.25">
      <c r="A553" s="1"/>
      <c r="B553" s="1"/>
      <c r="C553" s="1"/>
      <c r="D553" s="1"/>
      <c r="E553" s="1"/>
      <c r="F553" s="1"/>
      <c r="G553" s="1"/>
      <c r="H553" s="1"/>
      <c r="I553" s="1"/>
      <c r="J553" s="1"/>
      <c r="K553" s="1"/>
      <c r="L553" s="1"/>
      <c r="M553" s="1"/>
    </row>
    <row r="554" spans="1:13" ht="13.2" x14ac:dyDescent="0.25">
      <c r="A554" s="1"/>
      <c r="B554" s="1"/>
      <c r="C554" s="1"/>
      <c r="D554" s="1"/>
      <c r="E554" s="1"/>
      <c r="F554" s="1"/>
      <c r="G554" s="1"/>
      <c r="H554" s="1"/>
      <c r="I554" s="1"/>
      <c r="J554" s="1"/>
      <c r="K554" s="1"/>
      <c r="L554" s="1"/>
      <c r="M554" s="1"/>
    </row>
    <row r="555" spans="1:13" ht="13.2" x14ac:dyDescent="0.25">
      <c r="A555" s="1"/>
      <c r="B555" s="1"/>
      <c r="C555" s="1"/>
      <c r="D555" s="1"/>
      <c r="E555" s="1"/>
      <c r="F555" s="1"/>
      <c r="G555" s="1"/>
      <c r="H555" s="1"/>
      <c r="I555" s="1"/>
      <c r="J555" s="1"/>
      <c r="K555" s="1"/>
      <c r="L555" s="1"/>
      <c r="M555" s="1"/>
    </row>
    <row r="556" spans="1:13" ht="13.2" x14ac:dyDescent="0.25">
      <c r="A556" s="1"/>
      <c r="B556" s="1"/>
      <c r="C556" s="1"/>
      <c r="D556" s="1"/>
      <c r="E556" s="1"/>
      <c r="F556" s="1"/>
      <c r="G556" s="1"/>
      <c r="H556" s="1"/>
      <c r="I556" s="1"/>
      <c r="J556" s="1"/>
      <c r="K556" s="1"/>
      <c r="L556" s="1"/>
      <c r="M556" s="1"/>
    </row>
    <row r="557" spans="1:13" ht="13.2" x14ac:dyDescent="0.25">
      <c r="A557" s="1"/>
      <c r="B557" s="1"/>
      <c r="C557" s="1"/>
      <c r="D557" s="1"/>
      <c r="E557" s="1"/>
      <c r="F557" s="1"/>
      <c r="G557" s="1"/>
      <c r="H557" s="1"/>
      <c r="I557" s="1"/>
      <c r="J557" s="1"/>
      <c r="K557" s="1"/>
      <c r="L557" s="1"/>
      <c r="M557" s="1"/>
    </row>
    <row r="558" spans="1:13" ht="13.2" x14ac:dyDescent="0.25">
      <c r="A558" s="1"/>
      <c r="B558" s="1"/>
      <c r="C558" s="1"/>
      <c r="D558" s="1"/>
      <c r="E558" s="1"/>
      <c r="F558" s="1"/>
      <c r="G558" s="1"/>
      <c r="H558" s="1"/>
      <c r="I558" s="1"/>
      <c r="J558" s="1"/>
      <c r="K558" s="1"/>
      <c r="L558" s="1"/>
      <c r="M558" s="1"/>
    </row>
    <row r="559" spans="1:13" ht="13.2" x14ac:dyDescent="0.25">
      <c r="A559" s="1"/>
      <c r="B559" s="1"/>
      <c r="C559" s="1"/>
      <c r="D559" s="1"/>
      <c r="E559" s="1"/>
      <c r="F559" s="1"/>
      <c r="G559" s="1"/>
      <c r="H559" s="1"/>
      <c r="I559" s="1"/>
      <c r="J559" s="1"/>
      <c r="K559" s="1"/>
      <c r="L559" s="1"/>
      <c r="M559" s="1"/>
    </row>
    <row r="560" spans="1:13" ht="13.2" x14ac:dyDescent="0.25">
      <c r="A560" s="1"/>
      <c r="B560" s="1"/>
      <c r="C560" s="1"/>
      <c r="D560" s="1"/>
      <c r="E560" s="1"/>
      <c r="F560" s="1"/>
      <c r="G560" s="1"/>
      <c r="H560" s="1"/>
      <c r="I560" s="1"/>
      <c r="J560" s="1"/>
      <c r="K560" s="1"/>
      <c r="L560" s="1"/>
      <c r="M560" s="1"/>
    </row>
    <row r="561" spans="1:13" ht="13.2" x14ac:dyDescent="0.25">
      <c r="A561" s="1"/>
      <c r="B561" s="1"/>
      <c r="C561" s="1"/>
      <c r="D561" s="1"/>
      <c r="E561" s="1"/>
      <c r="F561" s="1"/>
      <c r="G561" s="1"/>
      <c r="H561" s="1"/>
      <c r="I561" s="1"/>
      <c r="J561" s="1"/>
      <c r="K561" s="1"/>
      <c r="L561" s="1"/>
      <c r="M561" s="1"/>
    </row>
    <row r="562" spans="1:13" ht="13.2" x14ac:dyDescent="0.25">
      <c r="A562" s="1"/>
      <c r="B562" s="1"/>
      <c r="C562" s="1"/>
      <c r="D562" s="1"/>
      <c r="E562" s="1"/>
      <c r="F562" s="1"/>
      <c r="G562" s="1"/>
      <c r="H562" s="1"/>
      <c r="I562" s="1"/>
      <c r="J562" s="1"/>
      <c r="K562" s="1"/>
      <c r="L562" s="1"/>
      <c r="M562" s="1"/>
    </row>
    <row r="563" spans="1:13" ht="13.2" x14ac:dyDescent="0.25">
      <c r="A563" s="1"/>
      <c r="B563" s="1"/>
      <c r="C563" s="1"/>
      <c r="D563" s="1"/>
      <c r="E563" s="1"/>
      <c r="F563" s="1"/>
      <c r="G563" s="1"/>
      <c r="H563" s="1"/>
      <c r="I563" s="1"/>
      <c r="J563" s="1"/>
      <c r="K563" s="1"/>
      <c r="L563" s="1"/>
      <c r="M563" s="1"/>
    </row>
    <row r="564" spans="1:13" ht="13.2" x14ac:dyDescent="0.25">
      <c r="A564" s="1"/>
      <c r="B564" s="1"/>
      <c r="C564" s="1"/>
      <c r="D564" s="1"/>
      <c r="E564" s="1"/>
      <c r="F564" s="1"/>
      <c r="G564" s="1"/>
      <c r="H564" s="1"/>
      <c r="I564" s="1"/>
      <c r="J564" s="1"/>
      <c r="K564" s="1"/>
      <c r="L564" s="1"/>
      <c r="M564" s="1"/>
    </row>
    <row r="565" spans="1:13" ht="13.2" x14ac:dyDescent="0.25">
      <c r="A565" s="1"/>
      <c r="B565" s="1"/>
      <c r="C565" s="1"/>
      <c r="D565" s="1"/>
      <c r="E565" s="1"/>
      <c r="F565" s="1"/>
      <c r="G565" s="1"/>
      <c r="H565" s="1"/>
      <c r="I565" s="1"/>
      <c r="J565" s="1"/>
      <c r="K565" s="1"/>
      <c r="L565" s="1"/>
      <c r="M565" s="1"/>
    </row>
    <row r="566" spans="1:13" ht="13.2" x14ac:dyDescent="0.25">
      <c r="A566" s="1"/>
      <c r="B566" s="1"/>
      <c r="C566" s="1"/>
      <c r="D566" s="1"/>
      <c r="E566" s="1"/>
      <c r="F566" s="1"/>
      <c r="G566" s="1"/>
      <c r="H566" s="1"/>
      <c r="I566" s="1"/>
      <c r="J566" s="1"/>
      <c r="K566" s="1"/>
      <c r="L566" s="1"/>
      <c r="M566" s="1"/>
    </row>
    <row r="567" spans="1:13" ht="13.2" x14ac:dyDescent="0.25">
      <c r="A567" s="1"/>
      <c r="B567" s="1"/>
      <c r="C567" s="1"/>
      <c r="D567" s="1"/>
      <c r="E567" s="1"/>
      <c r="F567" s="1"/>
      <c r="G567" s="1"/>
      <c r="H567" s="1"/>
      <c r="I567" s="1"/>
      <c r="J567" s="1"/>
      <c r="K567" s="1"/>
      <c r="L567" s="1"/>
      <c r="M567" s="1"/>
    </row>
    <row r="568" spans="1:13" ht="13.2" x14ac:dyDescent="0.25">
      <c r="A568" s="1"/>
      <c r="B568" s="1"/>
      <c r="C568" s="1"/>
      <c r="D568" s="1"/>
      <c r="E568" s="1"/>
      <c r="F568" s="1"/>
      <c r="G568" s="1"/>
      <c r="H568" s="1"/>
      <c r="I568" s="1"/>
      <c r="J568" s="1"/>
      <c r="K568" s="1"/>
      <c r="L568" s="1"/>
      <c r="M568" s="1"/>
    </row>
    <row r="569" spans="1:13" ht="13.2" x14ac:dyDescent="0.25">
      <c r="A569" s="1"/>
      <c r="B569" s="1"/>
      <c r="C569" s="1"/>
      <c r="D569" s="1"/>
      <c r="E569" s="1"/>
      <c r="F569" s="1"/>
      <c r="G569" s="1"/>
      <c r="H569" s="1"/>
      <c r="I569" s="1"/>
      <c r="J569" s="1"/>
      <c r="K569" s="1"/>
      <c r="L569" s="1"/>
      <c r="M569" s="1"/>
    </row>
    <row r="570" spans="1:13" ht="13.2" x14ac:dyDescent="0.25">
      <c r="A570" s="1"/>
      <c r="B570" s="1"/>
      <c r="C570" s="1"/>
      <c r="D570" s="1"/>
      <c r="E570" s="1"/>
      <c r="F570" s="1"/>
      <c r="G570" s="1"/>
      <c r="H570" s="1"/>
      <c r="I570" s="1"/>
      <c r="J570" s="1"/>
      <c r="K570" s="1"/>
      <c r="L570" s="1"/>
      <c r="M570" s="1"/>
    </row>
    <row r="571" spans="1:13" ht="13.2" x14ac:dyDescent="0.25">
      <c r="A571" s="1"/>
      <c r="B571" s="1"/>
      <c r="C571" s="1"/>
      <c r="D571" s="1"/>
      <c r="E571" s="1"/>
      <c r="F571" s="1"/>
      <c r="G571" s="1"/>
      <c r="H571" s="1"/>
      <c r="I571" s="1"/>
      <c r="J571" s="1"/>
      <c r="K571" s="1"/>
      <c r="L571" s="1"/>
      <c r="M571" s="1"/>
    </row>
    <row r="572" spans="1:13" ht="13.2" x14ac:dyDescent="0.25">
      <c r="A572" s="1"/>
      <c r="B572" s="1"/>
      <c r="C572" s="1"/>
      <c r="D572" s="1"/>
      <c r="E572" s="1"/>
      <c r="F572" s="1"/>
      <c r="G572" s="1"/>
      <c r="H572" s="1"/>
      <c r="I572" s="1"/>
      <c r="J572" s="1"/>
      <c r="K572" s="1"/>
      <c r="L572" s="1"/>
      <c r="M572" s="1"/>
    </row>
    <row r="573" spans="1:13" ht="13.2" x14ac:dyDescent="0.25">
      <c r="A573" s="1"/>
      <c r="B573" s="1"/>
      <c r="C573" s="1"/>
      <c r="D573" s="1"/>
      <c r="E573" s="1"/>
      <c r="F573" s="1"/>
      <c r="G573" s="1"/>
      <c r="H573" s="1"/>
      <c r="I573" s="1"/>
      <c r="J573" s="1"/>
      <c r="K573" s="1"/>
      <c r="L573" s="1"/>
      <c r="M573" s="1"/>
    </row>
    <row r="574" spans="1:13" ht="13.2" x14ac:dyDescent="0.25">
      <c r="A574" s="1"/>
      <c r="B574" s="1"/>
      <c r="C574" s="1"/>
      <c r="D574" s="1"/>
      <c r="E574" s="1"/>
      <c r="F574" s="1"/>
      <c r="G574" s="1"/>
      <c r="H574" s="1"/>
      <c r="I574" s="1"/>
      <c r="J574" s="1"/>
      <c r="K574" s="1"/>
      <c r="L574" s="1"/>
      <c r="M574" s="1"/>
    </row>
    <row r="575" spans="1:13" ht="13.2" x14ac:dyDescent="0.25">
      <c r="A575" s="1"/>
      <c r="B575" s="1"/>
      <c r="C575" s="1"/>
      <c r="D575" s="1"/>
      <c r="E575" s="1"/>
      <c r="F575" s="1"/>
      <c r="G575" s="1"/>
      <c r="H575" s="1"/>
      <c r="I575" s="1"/>
      <c r="J575" s="1"/>
      <c r="K575" s="1"/>
      <c r="L575" s="1"/>
      <c r="M575" s="1"/>
    </row>
    <row r="576" spans="1:13" ht="13.2" x14ac:dyDescent="0.25">
      <c r="A576" s="1"/>
      <c r="B576" s="1"/>
      <c r="C576" s="1"/>
      <c r="D576" s="1"/>
      <c r="E576" s="1"/>
      <c r="F576" s="1"/>
      <c r="G576" s="1"/>
      <c r="H576" s="1"/>
      <c r="I576" s="1"/>
      <c r="J576" s="1"/>
      <c r="K576" s="1"/>
      <c r="L576" s="1"/>
      <c r="M576" s="1"/>
    </row>
    <row r="577" spans="1:13" ht="13.2" x14ac:dyDescent="0.25">
      <c r="A577" s="1"/>
      <c r="B577" s="1"/>
      <c r="C577" s="1"/>
      <c r="D577" s="1"/>
      <c r="E577" s="1"/>
      <c r="F577" s="1"/>
      <c r="G577" s="1"/>
      <c r="H577" s="1"/>
      <c r="I577" s="1"/>
      <c r="J577" s="1"/>
      <c r="K577" s="1"/>
      <c r="L577" s="1"/>
      <c r="M577" s="1"/>
    </row>
    <row r="578" spans="1:13" ht="13.2" x14ac:dyDescent="0.25">
      <c r="A578" s="1"/>
      <c r="B578" s="1"/>
      <c r="C578" s="1"/>
      <c r="D578" s="1"/>
      <c r="E578" s="1"/>
      <c r="F578" s="1"/>
      <c r="G578" s="1"/>
      <c r="H578" s="1"/>
      <c r="I578" s="1"/>
      <c r="J578" s="1"/>
      <c r="K578" s="1"/>
      <c r="L578" s="1"/>
      <c r="M578" s="1"/>
    </row>
    <row r="579" spans="1:13" ht="13.2" x14ac:dyDescent="0.25">
      <c r="A579" s="1"/>
      <c r="B579" s="1"/>
      <c r="C579" s="1"/>
      <c r="D579" s="1"/>
      <c r="E579" s="1"/>
      <c r="F579" s="1"/>
      <c r="G579" s="1"/>
      <c r="H579" s="1"/>
      <c r="I579" s="1"/>
      <c r="J579" s="1"/>
      <c r="K579" s="1"/>
      <c r="L579" s="1"/>
      <c r="M579" s="1"/>
    </row>
    <row r="580" spans="1:13" ht="13.2" x14ac:dyDescent="0.25">
      <c r="A580" s="1"/>
      <c r="B580" s="1"/>
      <c r="C580" s="1"/>
      <c r="D580" s="1"/>
      <c r="E580" s="1"/>
      <c r="F580" s="1"/>
      <c r="G580" s="1"/>
      <c r="H580" s="1"/>
      <c r="I580" s="1"/>
      <c r="J580" s="1"/>
      <c r="K580" s="1"/>
      <c r="L580" s="1"/>
      <c r="M580" s="1"/>
    </row>
    <row r="581" spans="1:13" ht="13.2" x14ac:dyDescent="0.25">
      <c r="A581" s="1"/>
      <c r="B581" s="1"/>
      <c r="C581" s="1"/>
      <c r="D581" s="1"/>
      <c r="E581" s="1"/>
      <c r="F581" s="1"/>
      <c r="G581" s="1"/>
      <c r="H581" s="1"/>
      <c r="I581" s="1"/>
      <c r="J581" s="1"/>
      <c r="K581" s="1"/>
      <c r="L581" s="1"/>
      <c r="M581" s="1"/>
    </row>
    <row r="582" spans="1:13" ht="13.2" x14ac:dyDescent="0.25">
      <c r="A582" s="1"/>
      <c r="B582" s="1"/>
      <c r="C582" s="1"/>
      <c r="D582" s="1"/>
      <c r="E582" s="1"/>
      <c r="F582" s="1"/>
      <c r="G582" s="1"/>
      <c r="H582" s="1"/>
      <c r="I582" s="1"/>
      <c r="J582" s="1"/>
      <c r="K582" s="1"/>
      <c r="L582" s="1"/>
      <c r="M582" s="1"/>
    </row>
    <row r="583" spans="1:13" ht="13.2" x14ac:dyDescent="0.25">
      <c r="A583" s="1"/>
      <c r="B583" s="1"/>
      <c r="C583" s="1"/>
      <c r="D583" s="1"/>
      <c r="E583" s="1"/>
      <c r="F583" s="1"/>
      <c r="G583" s="1"/>
      <c r="H583" s="1"/>
      <c r="I583" s="1"/>
      <c r="J583" s="1"/>
      <c r="K583" s="1"/>
      <c r="L583" s="1"/>
      <c r="M583" s="1"/>
    </row>
    <row r="584" spans="1:13" ht="13.2" x14ac:dyDescent="0.25">
      <c r="A584" s="1"/>
      <c r="B584" s="1"/>
      <c r="C584" s="1"/>
      <c r="D584" s="1"/>
      <c r="E584" s="1"/>
      <c r="F584" s="1"/>
      <c r="G584" s="1"/>
      <c r="H584" s="1"/>
      <c r="I584" s="1"/>
      <c r="J584" s="1"/>
      <c r="K584" s="1"/>
      <c r="L584" s="1"/>
      <c r="M584" s="1"/>
    </row>
    <row r="585" spans="1:13" ht="13.2" x14ac:dyDescent="0.25">
      <c r="A585" s="1"/>
      <c r="B585" s="1"/>
      <c r="C585" s="1"/>
      <c r="D585" s="1"/>
      <c r="E585" s="1"/>
      <c r="F585" s="1"/>
      <c r="G585" s="1"/>
      <c r="H585" s="1"/>
      <c r="I585" s="1"/>
      <c r="J585" s="1"/>
      <c r="K585" s="1"/>
      <c r="L585" s="1"/>
      <c r="M585" s="1"/>
    </row>
    <row r="586" spans="1:13" ht="13.2" x14ac:dyDescent="0.25">
      <c r="A586" s="1"/>
      <c r="B586" s="1"/>
      <c r="C586" s="1"/>
      <c r="D586" s="1"/>
      <c r="E586" s="1"/>
      <c r="F586" s="1"/>
      <c r="G586" s="1"/>
      <c r="H586" s="1"/>
      <c r="I586" s="1"/>
      <c r="J586" s="1"/>
      <c r="K586" s="1"/>
      <c r="L586" s="1"/>
      <c r="M586" s="1"/>
    </row>
    <row r="587" spans="1:13" ht="13.2" x14ac:dyDescent="0.25">
      <c r="A587" s="1"/>
      <c r="B587" s="1"/>
      <c r="C587" s="1"/>
      <c r="D587" s="1"/>
      <c r="E587" s="1"/>
      <c r="F587" s="1"/>
      <c r="G587" s="1"/>
      <c r="H587" s="1"/>
      <c r="I587" s="1"/>
      <c r="J587" s="1"/>
      <c r="K587" s="1"/>
      <c r="L587" s="1"/>
      <c r="M587" s="1"/>
    </row>
    <row r="588" spans="1:13" ht="13.2" x14ac:dyDescent="0.25">
      <c r="A588" s="1"/>
      <c r="B588" s="1"/>
      <c r="C588" s="1"/>
      <c r="D588" s="1"/>
      <c r="E588" s="1"/>
      <c r="F588" s="1"/>
      <c r="G588" s="1"/>
      <c r="H588" s="1"/>
      <c r="I588" s="1"/>
      <c r="J588" s="1"/>
      <c r="K588" s="1"/>
      <c r="L588" s="1"/>
      <c r="M588" s="1"/>
    </row>
    <row r="589" spans="1:13" ht="13.2" x14ac:dyDescent="0.25">
      <c r="A589" s="1"/>
      <c r="B589" s="1"/>
      <c r="C589" s="1"/>
      <c r="D589" s="1"/>
      <c r="E589" s="1"/>
      <c r="F589" s="1"/>
      <c r="G589" s="1"/>
      <c r="H589" s="1"/>
      <c r="I589" s="1"/>
      <c r="J589" s="1"/>
      <c r="K589" s="1"/>
      <c r="L589" s="1"/>
      <c r="M589" s="1"/>
    </row>
    <row r="590" spans="1:13" ht="13.2" x14ac:dyDescent="0.25">
      <c r="A590" s="1"/>
      <c r="B590" s="1"/>
      <c r="C590" s="1"/>
      <c r="D590" s="1"/>
      <c r="E590" s="1"/>
      <c r="F590" s="1"/>
      <c r="G590" s="1"/>
      <c r="H590" s="1"/>
      <c r="I590" s="1"/>
      <c r="J590" s="1"/>
      <c r="K590" s="1"/>
      <c r="L590" s="1"/>
      <c r="M590" s="1"/>
    </row>
    <row r="591" spans="1:13" ht="13.2" x14ac:dyDescent="0.25">
      <c r="A591" s="1"/>
      <c r="B591" s="1"/>
      <c r="C591" s="1"/>
      <c r="D591" s="1"/>
      <c r="E591" s="1"/>
      <c r="F591" s="1"/>
      <c r="G591" s="1"/>
      <c r="H591" s="1"/>
      <c r="I591" s="1"/>
      <c r="J591" s="1"/>
      <c r="K591" s="1"/>
      <c r="L591" s="1"/>
      <c r="M591" s="1"/>
    </row>
    <row r="592" spans="1:13" ht="13.2" x14ac:dyDescent="0.25">
      <c r="A592" s="1"/>
      <c r="B592" s="1"/>
      <c r="C592" s="1"/>
      <c r="D592" s="1"/>
      <c r="E592" s="1"/>
      <c r="F592" s="1"/>
      <c r="G592" s="1"/>
      <c r="H592" s="1"/>
      <c r="I592" s="1"/>
      <c r="J592" s="1"/>
      <c r="K592" s="1"/>
      <c r="L592" s="1"/>
      <c r="M592" s="1"/>
    </row>
    <row r="593" spans="1:13" ht="13.2" x14ac:dyDescent="0.25">
      <c r="A593" s="1"/>
      <c r="B593" s="1"/>
      <c r="C593" s="1"/>
      <c r="D593" s="1"/>
      <c r="E593" s="1"/>
      <c r="F593" s="1"/>
      <c r="G593" s="1"/>
      <c r="H593" s="1"/>
      <c r="I593" s="1"/>
      <c r="J593" s="1"/>
      <c r="K593" s="1"/>
      <c r="L593" s="1"/>
      <c r="M593" s="1"/>
    </row>
    <row r="594" spans="1:13" ht="13.2" x14ac:dyDescent="0.25">
      <c r="A594" s="1"/>
      <c r="B594" s="1"/>
      <c r="C594" s="1"/>
      <c r="D594" s="1"/>
      <c r="E594" s="1"/>
      <c r="F594" s="1"/>
      <c r="G594" s="1"/>
      <c r="H594" s="1"/>
      <c r="I594" s="1"/>
      <c r="J594" s="1"/>
      <c r="K594" s="1"/>
      <c r="L594" s="1"/>
      <c r="M594" s="1"/>
    </row>
    <row r="595" spans="1:13" ht="13.2" x14ac:dyDescent="0.25">
      <c r="A595" s="1"/>
      <c r="B595" s="1"/>
      <c r="C595" s="1"/>
      <c r="D595" s="1"/>
      <c r="E595" s="1"/>
      <c r="F595" s="1"/>
      <c r="G595" s="1"/>
      <c r="H595" s="1"/>
      <c r="I595" s="1"/>
      <c r="J595" s="1"/>
      <c r="K595" s="1"/>
      <c r="L595" s="1"/>
      <c r="M595" s="1"/>
    </row>
    <row r="596" spans="1:13" ht="13.2" x14ac:dyDescent="0.25">
      <c r="A596" s="1"/>
      <c r="B596" s="1"/>
      <c r="C596" s="1"/>
      <c r="D596" s="1"/>
      <c r="E596" s="1"/>
      <c r="F596" s="1"/>
      <c r="G596" s="1"/>
      <c r="H596" s="1"/>
      <c r="I596" s="1"/>
      <c r="J596" s="1"/>
      <c r="K596" s="1"/>
      <c r="L596" s="1"/>
      <c r="M596" s="1"/>
    </row>
    <row r="597" spans="1:13" ht="13.2" x14ac:dyDescent="0.25">
      <c r="A597" s="1"/>
      <c r="B597" s="1"/>
      <c r="C597" s="1"/>
      <c r="D597" s="1"/>
      <c r="E597" s="1"/>
      <c r="F597" s="1"/>
      <c r="G597" s="1"/>
      <c r="H597" s="1"/>
      <c r="I597" s="1"/>
      <c r="J597" s="1"/>
      <c r="K597" s="1"/>
      <c r="L597" s="1"/>
      <c r="M597" s="1"/>
    </row>
    <row r="598" spans="1:13" ht="13.2" x14ac:dyDescent="0.25">
      <c r="A598" s="1"/>
      <c r="B598" s="1"/>
      <c r="C598" s="1"/>
      <c r="D598" s="1"/>
      <c r="E598" s="1"/>
      <c r="F598" s="1"/>
      <c r="G598" s="1"/>
      <c r="H598" s="1"/>
      <c r="I598" s="1"/>
      <c r="J598" s="1"/>
      <c r="K598" s="1"/>
      <c r="L598" s="1"/>
      <c r="M598" s="1"/>
    </row>
    <row r="599" spans="1:13" ht="13.2" x14ac:dyDescent="0.25">
      <c r="A599" s="1"/>
      <c r="B599" s="1"/>
      <c r="C599" s="1"/>
      <c r="D599" s="1"/>
      <c r="E599" s="1"/>
      <c r="F599" s="1"/>
      <c r="G599" s="1"/>
      <c r="H599" s="1"/>
      <c r="I599" s="1"/>
      <c r="J599" s="1"/>
      <c r="K599" s="1"/>
      <c r="L599" s="1"/>
      <c r="M599" s="1"/>
    </row>
    <row r="600" spans="1:13" ht="13.2" x14ac:dyDescent="0.25">
      <c r="A600" s="1"/>
      <c r="B600" s="1"/>
      <c r="C600" s="1"/>
      <c r="D600" s="1"/>
      <c r="E600" s="1"/>
      <c r="F600" s="1"/>
      <c r="G600" s="1"/>
      <c r="H600" s="1"/>
      <c r="I600" s="1"/>
      <c r="J600" s="1"/>
      <c r="K600" s="1"/>
      <c r="L600" s="1"/>
      <c r="M600" s="1"/>
    </row>
    <row r="601" spans="1:13" ht="13.2" x14ac:dyDescent="0.25">
      <c r="A601" s="1"/>
      <c r="B601" s="1"/>
      <c r="C601" s="1"/>
      <c r="D601" s="1"/>
      <c r="E601" s="1"/>
      <c r="F601" s="1"/>
      <c r="G601" s="1"/>
      <c r="H601" s="1"/>
      <c r="I601" s="1"/>
      <c r="J601" s="1"/>
      <c r="K601" s="1"/>
      <c r="L601" s="1"/>
      <c r="M601" s="1"/>
    </row>
    <row r="602" spans="1:13" ht="13.2" x14ac:dyDescent="0.25">
      <c r="A602" s="1"/>
      <c r="B602" s="1"/>
      <c r="C602" s="1"/>
      <c r="D602" s="1"/>
      <c r="E602" s="1"/>
      <c r="F602" s="1"/>
      <c r="G602" s="1"/>
      <c r="H602" s="1"/>
      <c r="I602" s="1"/>
      <c r="J602" s="1"/>
      <c r="K602" s="1"/>
      <c r="L602" s="1"/>
      <c r="M602" s="1"/>
    </row>
    <row r="603" spans="1:13" ht="13.2" x14ac:dyDescent="0.25">
      <c r="A603" s="1"/>
      <c r="B603" s="1"/>
      <c r="C603" s="1"/>
      <c r="D603" s="1"/>
      <c r="E603" s="1"/>
      <c r="F603" s="1"/>
      <c r="G603" s="1"/>
      <c r="H603" s="1"/>
      <c r="I603" s="1"/>
      <c r="J603" s="1"/>
      <c r="K603" s="1"/>
      <c r="L603" s="1"/>
      <c r="M603" s="1"/>
    </row>
    <row r="604" spans="1:13" ht="13.2" x14ac:dyDescent="0.25">
      <c r="A604" s="1"/>
      <c r="B604" s="1"/>
      <c r="C604" s="1"/>
      <c r="D604" s="1"/>
      <c r="E604" s="1"/>
      <c r="F604" s="1"/>
      <c r="G604" s="1"/>
      <c r="H604" s="1"/>
      <c r="I604" s="1"/>
      <c r="J604" s="1"/>
      <c r="K604" s="1"/>
      <c r="L604" s="1"/>
      <c r="M604" s="1"/>
    </row>
    <row r="605" spans="1:13" ht="13.2" x14ac:dyDescent="0.25">
      <c r="A605" s="1"/>
      <c r="B605" s="1"/>
      <c r="C605" s="1"/>
      <c r="D605" s="1"/>
      <c r="E605" s="1"/>
      <c r="F605" s="1"/>
      <c r="G605" s="1"/>
      <c r="H605" s="1"/>
      <c r="I605" s="1"/>
      <c r="J605" s="1"/>
      <c r="K605" s="1"/>
      <c r="L605" s="1"/>
      <c r="M605" s="1"/>
    </row>
    <row r="606" spans="1:13" ht="13.2" x14ac:dyDescent="0.25">
      <c r="A606" s="1"/>
      <c r="B606" s="1"/>
      <c r="C606" s="1"/>
      <c r="D606" s="1"/>
      <c r="E606" s="1"/>
      <c r="F606" s="1"/>
      <c r="G606" s="1"/>
      <c r="H606" s="1"/>
      <c r="I606" s="1"/>
      <c r="J606" s="1"/>
      <c r="K606" s="1"/>
      <c r="L606" s="1"/>
      <c r="M606" s="1"/>
    </row>
    <row r="607" spans="1:13" ht="13.2" x14ac:dyDescent="0.25">
      <c r="A607" s="1"/>
      <c r="B607" s="1"/>
      <c r="C607" s="1"/>
      <c r="D607" s="1"/>
      <c r="E607" s="1"/>
      <c r="F607" s="1"/>
      <c r="G607" s="1"/>
      <c r="H607" s="1"/>
      <c r="I607" s="1"/>
      <c r="J607" s="1"/>
      <c r="K607" s="1"/>
      <c r="L607" s="1"/>
      <c r="M607" s="1"/>
    </row>
    <row r="608" spans="1:13" ht="13.2" x14ac:dyDescent="0.25">
      <c r="A608" s="1"/>
      <c r="B608" s="1"/>
      <c r="C608" s="1"/>
      <c r="D608" s="1"/>
      <c r="E608" s="1"/>
      <c r="F608" s="1"/>
      <c r="G608" s="1"/>
      <c r="H608" s="1"/>
      <c r="I608" s="1"/>
      <c r="J608" s="1"/>
      <c r="K608" s="1"/>
      <c r="L608" s="1"/>
      <c r="M608" s="1"/>
    </row>
    <row r="609" spans="1:13" ht="13.2" x14ac:dyDescent="0.25">
      <c r="A609" s="1"/>
      <c r="B609" s="1"/>
      <c r="C609" s="1"/>
      <c r="D609" s="1"/>
      <c r="E609" s="1"/>
      <c r="F609" s="1"/>
      <c r="G609" s="1"/>
      <c r="H609" s="1"/>
      <c r="I609" s="1"/>
      <c r="J609" s="1"/>
      <c r="K609" s="1"/>
      <c r="L609" s="1"/>
      <c r="M609" s="1"/>
    </row>
    <row r="610" spans="1:13" ht="13.2" x14ac:dyDescent="0.25">
      <c r="A610" s="1"/>
      <c r="B610" s="1"/>
      <c r="C610" s="1"/>
      <c r="D610" s="1"/>
      <c r="E610" s="1"/>
      <c r="F610" s="1"/>
      <c r="G610" s="1"/>
      <c r="H610" s="1"/>
      <c r="I610" s="1"/>
      <c r="J610" s="1"/>
      <c r="K610" s="1"/>
      <c r="L610" s="1"/>
      <c r="M610" s="1"/>
    </row>
    <row r="611" spans="1:13" ht="13.2" x14ac:dyDescent="0.25">
      <c r="A611" s="1"/>
      <c r="B611" s="1"/>
      <c r="C611" s="1"/>
      <c r="D611" s="1"/>
      <c r="E611" s="1"/>
      <c r="F611" s="1"/>
      <c r="G611" s="1"/>
      <c r="H611" s="1"/>
      <c r="I611" s="1"/>
      <c r="J611" s="1"/>
      <c r="K611" s="1"/>
      <c r="L611" s="1"/>
      <c r="M611" s="1"/>
    </row>
    <row r="612" spans="1:13" ht="13.2" x14ac:dyDescent="0.25">
      <c r="A612" s="1"/>
      <c r="B612" s="1"/>
      <c r="C612" s="1"/>
      <c r="D612" s="1"/>
      <c r="E612" s="1"/>
      <c r="F612" s="1"/>
      <c r="G612" s="1"/>
      <c r="H612" s="1"/>
      <c r="I612" s="1"/>
      <c r="J612" s="1"/>
      <c r="K612" s="1"/>
      <c r="L612" s="1"/>
      <c r="M612" s="1"/>
    </row>
    <row r="613" spans="1:13" ht="13.2" x14ac:dyDescent="0.25">
      <c r="A613" s="1"/>
      <c r="B613" s="1"/>
      <c r="C613" s="1"/>
      <c r="D613" s="1"/>
      <c r="E613" s="1"/>
      <c r="F613" s="1"/>
      <c r="G613" s="1"/>
      <c r="H613" s="1"/>
      <c r="I613" s="1"/>
      <c r="J613" s="1"/>
      <c r="K613" s="1"/>
      <c r="L613" s="1"/>
      <c r="M613" s="1"/>
    </row>
    <row r="614" spans="1:13" ht="13.2" x14ac:dyDescent="0.25">
      <c r="A614" s="1"/>
      <c r="B614" s="1"/>
      <c r="C614" s="1"/>
      <c r="D614" s="1"/>
      <c r="E614" s="1"/>
      <c r="F614" s="1"/>
      <c r="G614" s="1"/>
      <c r="H614" s="1"/>
      <c r="I614" s="1"/>
      <c r="J614" s="1"/>
      <c r="K614" s="1"/>
      <c r="L614" s="1"/>
      <c r="M614" s="1"/>
    </row>
    <row r="615" spans="1:13" ht="13.2" x14ac:dyDescent="0.25">
      <c r="A615" s="1"/>
      <c r="B615" s="1"/>
      <c r="C615" s="1"/>
      <c r="D615" s="1"/>
      <c r="E615" s="1"/>
      <c r="F615" s="1"/>
      <c r="G615" s="1"/>
      <c r="H615" s="1"/>
      <c r="I615" s="1"/>
      <c r="J615" s="1"/>
      <c r="K615" s="1"/>
      <c r="L615" s="1"/>
      <c r="M615" s="1"/>
    </row>
    <row r="616" spans="1:13" ht="13.2" x14ac:dyDescent="0.25">
      <c r="A616" s="1"/>
      <c r="B616" s="1"/>
      <c r="C616" s="1"/>
      <c r="D616" s="1"/>
      <c r="E616" s="1"/>
      <c r="F616" s="1"/>
      <c r="G616" s="1"/>
      <c r="H616" s="1"/>
      <c r="I616" s="1"/>
      <c r="J616" s="1"/>
      <c r="K616" s="1"/>
      <c r="L616" s="1"/>
      <c r="M616" s="1"/>
    </row>
    <row r="617" spans="1:13" ht="13.2" x14ac:dyDescent="0.25">
      <c r="A617" s="1"/>
      <c r="B617" s="1"/>
      <c r="C617" s="1"/>
      <c r="D617" s="1"/>
      <c r="E617" s="1"/>
      <c r="F617" s="1"/>
      <c r="G617" s="1"/>
      <c r="H617" s="1"/>
      <c r="I617" s="1"/>
      <c r="J617" s="1"/>
      <c r="K617" s="1"/>
      <c r="L617" s="1"/>
      <c r="M617" s="1"/>
    </row>
    <row r="618" spans="1:13" ht="13.2" x14ac:dyDescent="0.25">
      <c r="A618" s="1"/>
      <c r="B618" s="1"/>
      <c r="C618" s="1"/>
      <c r="D618" s="1"/>
      <c r="E618" s="1"/>
      <c r="F618" s="1"/>
      <c r="G618" s="1"/>
      <c r="H618" s="1"/>
      <c r="I618" s="1"/>
      <c r="J618" s="1"/>
      <c r="K618" s="1"/>
      <c r="L618" s="1"/>
      <c r="M618" s="1"/>
    </row>
    <row r="619" spans="1:13" ht="13.2" x14ac:dyDescent="0.25">
      <c r="A619" s="1"/>
      <c r="B619" s="1"/>
      <c r="C619" s="1"/>
      <c r="D619" s="1"/>
      <c r="E619" s="1"/>
      <c r="F619" s="1"/>
      <c r="G619" s="1"/>
      <c r="H619" s="1"/>
      <c r="I619" s="1"/>
      <c r="J619" s="1"/>
      <c r="K619" s="1"/>
      <c r="L619" s="1"/>
      <c r="M619" s="1"/>
    </row>
    <row r="620" spans="1:13" ht="13.2" x14ac:dyDescent="0.25">
      <c r="A620" s="1"/>
      <c r="B620" s="1"/>
      <c r="C620" s="1"/>
      <c r="D620" s="1"/>
      <c r="E620" s="1"/>
      <c r="F620" s="1"/>
      <c r="G620" s="1"/>
      <c r="H620" s="1"/>
      <c r="I620" s="1"/>
      <c r="J620" s="1"/>
      <c r="K620" s="1"/>
      <c r="L620" s="1"/>
      <c r="M620" s="1"/>
    </row>
    <row r="621" spans="1:13" ht="13.2" x14ac:dyDescent="0.25">
      <c r="A621" s="1"/>
      <c r="B621" s="1"/>
      <c r="C621" s="1"/>
      <c r="D621" s="1"/>
      <c r="E621" s="1"/>
      <c r="F621" s="1"/>
      <c r="G621" s="1"/>
      <c r="H621" s="1"/>
      <c r="I621" s="1"/>
      <c r="J621" s="1"/>
      <c r="K621" s="1"/>
      <c r="L621" s="1"/>
      <c r="M621" s="1"/>
    </row>
    <row r="622" spans="1:13" ht="13.2" x14ac:dyDescent="0.25">
      <c r="A622" s="1"/>
      <c r="B622" s="1"/>
      <c r="C622" s="1"/>
      <c r="D622" s="1"/>
      <c r="E622" s="1"/>
      <c r="F622" s="1"/>
      <c r="G622" s="1"/>
      <c r="H622" s="1"/>
      <c r="I622" s="1"/>
      <c r="J622" s="1"/>
      <c r="K622" s="1"/>
      <c r="L622" s="1"/>
      <c r="M622" s="1"/>
    </row>
    <row r="623" spans="1:13" ht="13.2" x14ac:dyDescent="0.25">
      <c r="A623" s="1"/>
      <c r="B623" s="1"/>
      <c r="C623" s="1"/>
      <c r="D623" s="1"/>
      <c r="E623" s="1"/>
      <c r="F623" s="1"/>
      <c r="G623" s="1"/>
      <c r="H623" s="1"/>
      <c r="I623" s="1"/>
      <c r="J623" s="1"/>
      <c r="K623" s="1"/>
      <c r="L623" s="1"/>
      <c r="M623" s="1"/>
    </row>
    <row r="624" spans="1:13" ht="13.2" x14ac:dyDescent="0.25">
      <c r="A624" s="1"/>
      <c r="B624" s="1"/>
      <c r="C624" s="1"/>
      <c r="D624" s="1"/>
      <c r="E624" s="1"/>
      <c r="F624" s="1"/>
      <c r="G624" s="1"/>
      <c r="H624" s="1"/>
      <c r="I624" s="1"/>
      <c r="J624" s="1"/>
      <c r="K624" s="1"/>
      <c r="L624" s="1"/>
      <c r="M624" s="1"/>
    </row>
    <row r="625" spans="1:13" ht="13.2" x14ac:dyDescent="0.25">
      <c r="A625" s="1"/>
      <c r="B625" s="1"/>
      <c r="C625" s="1"/>
      <c r="D625" s="1"/>
      <c r="E625" s="1"/>
      <c r="F625" s="1"/>
      <c r="G625" s="1"/>
      <c r="H625" s="1"/>
      <c r="I625" s="1"/>
      <c r="J625" s="1"/>
      <c r="K625" s="1"/>
      <c r="L625" s="1"/>
      <c r="M625" s="1"/>
    </row>
    <row r="626" spans="1:13" ht="13.2" x14ac:dyDescent="0.25">
      <c r="A626" s="1"/>
      <c r="B626" s="1"/>
      <c r="C626" s="1"/>
      <c r="D626" s="1"/>
      <c r="E626" s="1"/>
      <c r="F626" s="1"/>
      <c r="G626" s="1"/>
      <c r="H626" s="1"/>
      <c r="I626" s="1"/>
      <c r="J626" s="1"/>
      <c r="K626" s="1"/>
      <c r="L626" s="1"/>
      <c r="M626" s="1"/>
    </row>
    <row r="627" spans="1:13" ht="13.2" x14ac:dyDescent="0.25">
      <c r="A627" s="1"/>
      <c r="B627" s="1"/>
      <c r="C627" s="1"/>
      <c r="D627" s="1"/>
      <c r="E627" s="1"/>
      <c r="F627" s="1"/>
      <c r="G627" s="1"/>
      <c r="H627" s="1"/>
      <c r="I627" s="1"/>
      <c r="J627" s="1"/>
      <c r="K627" s="1"/>
      <c r="L627" s="1"/>
      <c r="M627" s="1"/>
    </row>
    <row r="628" spans="1:13" ht="13.2" x14ac:dyDescent="0.25">
      <c r="A628" s="1"/>
      <c r="B628" s="1"/>
      <c r="C628" s="1"/>
      <c r="D628" s="1"/>
      <c r="E628" s="1"/>
      <c r="F628" s="1"/>
      <c r="G628" s="1"/>
      <c r="H628" s="1"/>
      <c r="I628" s="1"/>
      <c r="J628" s="1"/>
      <c r="K628" s="1"/>
      <c r="L628" s="1"/>
      <c r="M628" s="1"/>
    </row>
    <row r="629" spans="1:13" ht="13.2" x14ac:dyDescent="0.25">
      <c r="A629" s="1"/>
      <c r="B629" s="1"/>
      <c r="C629" s="1"/>
      <c r="D629" s="1"/>
      <c r="E629" s="1"/>
      <c r="F629" s="1"/>
      <c r="G629" s="1"/>
      <c r="H629" s="1"/>
      <c r="I629" s="1"/>
      <c r="J629" s="1"/>
      <c r="K629" s="1"/>
      <c r="L629" s="1"/>
      <c r="M629" s="1"/>
    </row>
    <row r="630" spans="1:13" ht="13.2" x14ac:dyDescent="0.25">
      <c r="A630" s="1"/>
      <c r="B630" s="1"/>
      <c r="C630" s="1"/>
      <c r="D630" s="1"/>
      <c r="E630" s="1"/>
      <c r="F630" s="1"/>
      <c r="G630" s="1"/>
      <c r="H630" s="1"/>
      <c r="I630" s="1"/>
      <c r="J630" s="1"/>
      <c r="K630" s="1"/>
      <c r="L630" s="1"/>
      <c r="M630" s="1"/>
    </row>
    <row r="631" spans="1:13" ht="13.2" x14ac:dyDescent="0.25">
      <c r="A631" s="1"/>
      <c r="B631" s="1"/>
      <c r="C631" s="1"/>
      <c r="D631" s="1"/>
      <c r="E631" s="1"/>
      <c r="F631" s="1"/>
      <c r="G631" s="1"/>
      <c r="H631" s="1"/>
      <c r="I631" s="1"/>
      <c r="J631" s="1"/>
      <c r="K631" s="1"/>
      <c r="L631" s="1"/>
      <c r="M631" s="1"/>
    </row>
    <row r="632" spans="1:13" ht="13.2" x14ac:dyDescent="0.25">
      <c r="A632" s="1"/>
      <c r="B632" s="1"/>
      <c r="C632" s="1"/>
      <c r="D632" s="1"/>
      <c r="E632" s="1"/>
      <c r="F632" s="1"/>
      <c r="G632" s="1"/>
      <c r="H632" s="1"/>
      <c r="I632" s="1"/>
      <c r="J632" s="1"/>
      <c r="K632" s="1"/>
      <c r="L632" s="1"/>
      <c r="M632" s="1"/>
    </row>
    <row r="633" spans="1:13" ht="13.2" x14ac:dyDescent="0.25">
      <c r="A633" s="1"/>
      <c r="B633" s="1"/>
      <c r="C633" s="1"/>
      <c r="D633" s="1"/>
      <c r="E633" s="1"/>
      <c r="F633" s="1"/>
      <c r="G633" s="1"/>
      <c r="H633" s="1"/>
      <c r="I633" s="1"/>
      <c r="J633" s="1"/>
      <c r="K633" s="1"/>
      <c r="L633" s="1"/>
      <c r="M633" s="1"/>
    </row>
    <row r="634" spans="1:13" ht="13.2" x14ac:dyDescent="0.25">
      <c r="A634" s="1"/>
      <c r="B634" s="1"/>
      <c r="C634" s="1"/>
      <c r="D634" s="1"/>
      <c r="E634" s="1"/>
      <c r="F634" s="1"/>
      <c r="G634" s="1"/>
      <c r="H634" s="1"/>
      <c r="I634" s="1"/>
      <c r="J634" s="1"/>
      <c r="K634" s="1"/>
      <c r="L634" s="1"/>
      <c r="M634" s="1"/>
    </row>
    <row r="635" spans="1:13" ht="13.2" x14ac:dyDescent="0.25">
      <c r="A635" s="1"/>
      <c r="B635" s="1"/>
      <c r="C635" s="1"/>
      <c r="D635" s="1"/>
      <c r="E635" s="1"/>
      <c r="F635" s="1"/>
      <c r="G635" s="1"/>
      <c r="H635" s="1"/>
      <c r="I635" s="1"/>
      <c r="J635" s="1"/>
      <c r="K635" s="1"/>
      <c r="L635" s="1"/>
      <c r="M635" s="1"/>
    </row>
    <row r="636" spans="1:13" ht="13.2" x14ac:dyDescent="0.25">
      <c r="A636" s="1"/>
      <c r="B636" s="1"/>
      <c r="C636" s="1"/>
      <c r="D636" s="1"/>
      <c r="E636" s="1"/>
      <c r="F636" s="1"/>
      <c r="G636" s="1"/>
      <c r="H636" s="1"/>
      <c r="I636" s="1"/>
      <c r="J636" s="1"/>
      <c r="K636" s="1"/>
      <c r="L636" s="1"/>
      <c r="M636" s="1"/>
    </row>
    <row r="637" spans="1:13" ht="13.2" x14ac:dyDescent="0.25">
      <c r="A637" s="1"/>
      <c r="B637" s="1"/>
      <c r="C637" s="1"/>
      <c r="D637" s="1"/>
      <c r="E637" s="1"/>
      <c r="F637" s="1"/>
      <c r="G637" s="1"/>
      <c r="H637" s="1"/>
      <c r="I637" s="1"/>
      <c r="J637" s="1"/>
      <c r="K637" s="1"/>
      <c r="L637" s="1"/>
      <c r="M637" s="1"/>
    </row>
    <row r="638" spans="1:13" ht="13.2" x14ac:dyDescent="0.25">
      <c r="A638" s="1"/>
      <c r="B638" s="1"/>
      <c r="C638" s="1"/>
      <c r="D638" s="1"/>
      <c r="E638" s="1"/>
      <c r="F638" s="1"/>
      <c r="G638" s="1"/>
      <c r="H638" s="1"/>
      <c r="I638" s="1"/>
      <c r="J638" s="1"/>
      <c r="K638" s="1"/>
      <c r="L638" s="1"/>
      <c r="M638" s="1"/>
    </row>
    <row r="639" spans="1:13" ht="13.2" x14ac:dyDescent="0.25">
      <c r="A639" s="1"/>
      <c r="B639" s="1"/>
      <c r="C639" s="1"/>
      <c r="D639" s="1"/>
      <c r="E639" s="1"/>
      <c r="F639" s="1"/>
      <c r="G639" s="1"/>
      <c r="H639" s="1"/>
      <c r="I639" s="1"/>
      <c r="J639" s="1"/>
      <c r="K639" s="1"/>
      <c r="L639" s="1"/>
      <c r="M639" s="1"/>
    </row>
    <row r="640" spans="1:13" ht="13.2" x14ac:dyDescent="0.25">
      <c r="A640" s="1"/>
      <c r="B640" s="1"/>
      <c r="C640" s="1"/>
      <c r="D640" s="1"/>
      <c r="E640" s="1"/>
      <c r="F640" s="1"/>
      <c r="G640" s="1"/>
      <c r="H640" s="1"/>
      <c r="I640" s="1"/>
      <c r="J640" s="1"/>
      <c r="K640" s="1"/>
      <c r="L640" s="1"/>
      <c r="M640" s="1"/>
    </row>
    <row r="641" spans="1:13" ht="13.2" x14ac:dyDescent="0.25">
      <c r="A641" s="1"/>
      <c r="B641" s="1"/>
      <c r="C641" s="1"/>
      <c r="D641" s="1"/>
      <c r="E641" s="1"/>
      <c r="F641" s="1"/>
      <c r="G641" s="1"/>
      <c r="H641" s="1"/>
      <c r="I641" s="1"/>
      <c r="J641" s="1"/>
      <c r="K641" s="1"/>
      <c r="L641" s="1"/>
      <c r="M641" s="1"/>
    </row>
    <row r="642" spans="1:13" ht="13.2" x14ac:dyDescent="0.25">
      <c r="A642" s="1"/>
      <c r="B642" s="1"/>
      <c r="C642" s="1"/>
      <c r="D642" s="1"/>
      <c r="E642" s="1"/>
      <c r="F642" s="1"/>
      <c r="G642" s="1"/>
      <c r="H642" s="1"/>
      <c r="I642" s="1"/>
      <c r="J642" s="1"/>
      <c r="K642" s="1"/>
      <c r="L642" s="1"/>
      <c r="M642" s="1"/>
    </row>
    <row r="643" spans="1:13" ht="13.2" x14ac:dyDescent="0.25">
      <c r="A643" s="1"/>
      <c r="B643" s="1"/>
      <c r="C643" s="1"/>
      <c r="D643" s="1"/>
      <c r="E643" s="1"/>
      <c r="F643" s="1"/>
      <c r="G643" s="1"/>
      <c r="H643" s="1"/>
      <c r="I643" s="1"/>
      <c r="J643" s="1"/>
      <c r="K643" s="1"/>
      <c r="L643" s="1"/>
      <c r="M643" s="1"/>
    </row>
    <row r="644" spans="1:13" ht="13.2" x14ac:dyDescent="0.25">
      <c r="A644" s="1"/>
      <c r="B644" s="1"/>
      <c r="C644" s="1"/>
      <c r="D644" s="1"/>
      <c r="E644" s="1"/>
      <c r="F644" s="1"/>
      <c r="G644" s="1"/>
      <c r="H644" s="1"/>
      <c r="I644" s="1"/>
      <c r="J644" s="1"/>
      <c r="K644" s="1"/>
      <c r="L644" s="1"/>
      <c r="M644" s="1"/>
    </row>
    <row r="645" spans="1:13" ht="13.2" x14ac:dyDescent="0.25">
      <c r="A645" s="1"/>
      <c r="B645" s="1"/>
      <c r="C645" s="1"/>
      <c r="D645" s="1"/>
      <c r="E645" s="1"/>
      <c r="F645" s="1"/>
      <c r="G645" s="1"/>
      <c r="H645" s="1"/>
      <c r="I645" s="1"/>
      <c r="J645" s="1"/>
      <c r="K645" s="1"/>
      <c r="L645" s="1"/>
      <c r="M645" s="1"/>
    </row>
    <row r="646" spans="1:13" ht="13.2" x14ac:dyDescent="0.25">
      <c r="A646" s="1"/>
      <c r="B646" s="1"/>
      <c r="C646" s="1"/>
      <c r="D646" s="1"/>
      <c r="E646" s="1"/>
      <c r="F646" s="1"/>
      <c r="G646" s="1"/>
      <c r="H646" s="1"/>
      <c r="I646" s="1"/>
      <c r="J646" s="1"/>
      <c r="K646" s="1"/>
      <c r="L646" s="1"/>
      <c r="M646" s="1"/>
    </row>
    <row r="647" spans="1:13" ht="13.2" x14ac:dyDescent="0.25">
      <c r="A647" s="1"/>
      <c r="B647" s="1"/>
      <c r="C647" s="1"/>
      <c r="D647" s="1"/>
      <c r="E647" s="1"/>
      <c r="F647" s="1"/>
      <c r="G647" s="1"/>
      <c r="H647" s="1"/>
      <c r="I647" s="1"/>
      <c r="J647" s="1"/>
      <c r="K647" s="1"/>
      <c r="L647" s="1"/>
      <c r="M647" s="1"/>
    </row>
    <row r="648" spans="1:13" ht="13.2" x14ac:dyDescent="0.25">
      <c r="A648" s="1"/>
      <c r="B648" s="1"/>
      <c r="C648" s="1"/>
      <c r="D648" s="1"/>
      <c r="E648" s="1"/>
      <c r="F648" s="1"/>
      <c r="G648" s="1"/>
      <c r="H648" s="1"/>
      <c r="I648" s="1"/>
      <c r="J648" s="1"/>
      <c r="K648" s="1"/>
      <c r="L648" s="1"/>
      <c r="M648" s="1"/>
    </row>
    <row r="649" spans="1:13" ht="13.2" x14ac:dyDescent="0.25">
      <c r="A649" s="1"/>
      <c r="B649" s="1"/>
      <c r="C649" s="1"/>
      <c r="D649" s="1"/>
      <c r="E649" s="1"/>
      <c r="F649" s="1"/>
      <c r="G649" s="1"/>
      <c r="H649" s="1"/>
      <c r="I649" s="1"/>
      <c r="J649" s="1"/>
      <c r="K649" s="1"/>
      <c r="L649" s="1"/>
      <c r="M649" s="1"/>
    </row>
    <row r="650" spans="1:13" ht="13.2" x14ac:dyDescent="0.25">
      <c r="A650" s="1"/>
      <c r="B650" s="1"/>
      <c r="C650" s="1"/>
      <c r="D650" s="1"/>
      <c r="E650" s="1"/>
      <c r="F650" s="1"/>
      <c r="G650" s="1"/>
      <c r="H650" s="1"/>
      <c r="I650" s="1"/>
      <c r="J650" s="1"/>
      <c r="K650" s="1"/>
      <c r="L650" s="1"/>
      <c r="M650" s="1"/>
    </row>
    <row r="651" spans="1:13" ht="13.2" x14ac:dyDescent="0.25">
      <c r="A651" s="1"/>
      <c r="B651" s="1"/>
      <c r="C651" s="1"/>
      <c r="D651" s="1"/>
      <c r="E651" s="1"/>
      <c r="F651" s="1"/>
      <c r="G651" s="1"/>
      <c r="H651" s="1"/>
      <c r="I651" s="1"/>
      <c r="J651" s="1"/>
      <c r="K651" s="1"/>
      <c r="L651" s="1"/>
      <c r="M651" s="1"/>
    </row>
    <row r="652" spans="1:13" ht="13.2" x14ac:dyDescent="0.25">
      <c r="A652" s="1"/>
      <c r="B652" s="1"/>
      <c r="C652" s="1"/>
      <c r="D652" s="1"/>
      <c r="E652" s="1"/>
      <c r="F652" s="1"/>
      <c r="G652" s="1"/>
      <c r="H652" s="1"/>
      <c r="I652" s="1"/>
      <c r="J652" s="1"/>
      <c r="K652" s="1"/>
      <c r="L652" s="1"/>
      <c r="M652" s="1"/>
    </row>
    <row r="653" spans="1:13" ht="13.2" x14ac:dyDescent="0.25">
      <c r="A653" s="1"/>
      <c r="B653" s="1"/>
      <c r="C653" s="1"/>
      <c r="D653" s="1"/>
      <c r="E653" s="1"/>
      <c r="F653" s="1"/>
      <c r="G653" s="1"/>
      <c r="H653" s="1"/>
      <c r="I653" s="1"/>
      <c r="J653" s="1"/>
      <c r="K653" s="1"/>
      <c r="L653" s="1"/>
      <c r="M653" s="1"/>
    </row>
    <row r="654" spans="1:13" ht="13.2" x14ac:dyDescent="0.25">
      <c r="A654" s="1"/>
      <c r="B654" s="1"/>
      <c r="C654" s="1"/>
      <c r="D654" s="1"/>
      <c r="E654" s="1"/>
      <c r="F654" s="1"/>
      <c r="G654" s="1"/>
      <c r="H654" s="1"/>
      <c r="I654" s="1"/>
      <c r="J654" s="1"/>
      <c r="K654" s="1"/>
      <c r="L654" s="1"/>
      <c r="M654" s="1"/>
    </row>
    <row r="655" spans="1:13" ht="13.2" x14ac:dyDescent="0.25">
      <c r="A655" s="1"/>
      <c r="B655" s="1"/>
      <c r="C655" s="1"/>
      <c r="D655" s="1"/>
      <c r="E655" s="1"/>
      <c r="F655" s="1"/>
      <c r="G655" s="1"/>
      <c r="H655" s="1"/>
      <c r="I655" s="1"/>
      <c r="J655" s="1"/>
      <c r="K655" s="1"/>
      <c r="L655" s="1"/>
      <c r="M655" s="1"/>
    </row>
    <row r="656" spans="1:13" ht="13.2" x14ac:dyDescent="0.25">
      <c r="A656" s="1"/>
      <c r="B656" s="1"/>
      <c r="C656" s="1"/>
      <c r="D656" s="1"/>
      <c r="E656" s="1"/>
      <c r="F656" s="1"/>
      <c r="G656" s="1"/>
      <c r="H656" s="1"/>
      <c r="I656" s="1"/>
      <c r="J656" s="1"/>
      <c r="K656" s="1"/>
      <c r="L656" s="1"/>
      <c r="M656" s="1"/>
    </row>
    <row r="657" spans="1:13" ht="13.2" x14ac:dyDescent="0.25">
      <c r="A657" s="1"/>
      <c r="B657" s="1"/>
      <c r="C657" s="1"/>
      <c r="D657" s="1"/>
      <c r="E657" s="1"/>
      <c r="F657" s="1"/>
      <c r="G657" s="1"/>
      <c r="H657" s="1"/>
      <c r="I657" s="1"/>
      <c r="J657" s="1"/>
      <c r="K657" s="1"/>
      <c r="L657" s="1"/>
      <c r="M657" s="1"/>
    </row>
    <row r="658" spans="1:13" ht="13.2" x14ac:dyDescent="0.25">
      <c r="A658" s="1"/>
      <c r="B658" s="1"/>
      <c r="C658" s="1"/>
      <c r="D658" s="1"/>
      <c r="E658" s="1"/>
      <c r="F658" s="1"/>
      <c r="G658" s="1"/>
      <c r="H658" s="1"/>
      <c r="I658" s="1"/>
      <c r="J658" s="1"/>
      <c r="K658" s="1"/>
      <c r="L658" s="1"/>
      <c r="M658" s="1"/>
    </row>
    <row r="659" spans="1:13" ht="13.2" x14ac:dyDescent="0.25">
      <c r="A659" s="1"/>
      <c r="B659" s="1"/>
      <c r="C659" s="1"/>
      <c r="D659" s="1"/>
      <c r="E659" s="1"/>
      <c r="F659" s="1"/>
      <c r="G659" s="1"/>
      <c r="H659" s="1"/>
      <c r="I659" s="1"/>
      <c r="J659" s="1"/>
      <c r="K659" s="1"/>
      <c r="L659" s="1"/>
      <c r="M659" s="1"/>
    </row>
    <row r="660" spans="1:13" ht="13.2" x14ac:dyDescent="0.25">
      <c r="A660" s="1"/>
      <c r="B660" s="1"/>
      <c r="C660" s="1"/>
      <c r="D660" s="1"/>
      <c r="E660" s="1"/>
      <c r="F660" s="1"/>
      <c r="G660" s="1"/>
      <c r="H660" s="1"/>
      <c r="I660" s="1"/>
      <c r="J660" s="1"/>
      <c r="K660" s="1"/>
      <c r="L660" s="1"/>
      <c r="M660" s="1"/>
    </row>
    <row r="661" spans="1:13" ht="13.2" x14ac:dyDescent="0.25">
      <c r="A661" s="1"/>
      <c r="B661" s="1"/>
      <c r="C661" s="1"/>
      <c r="D661" s="1"/>
      <c r="E661" s="1"/>
      <c r="F661" s="1"/>
      <c r="G661" s="1"/>
      <c r="H661" s="1"/>
      <c r="I661" s="1"/>
      <c r="J661" s="1"/>
      <c r="K661" s="1"/>
      <c r="L661" s="1"/>
      <c r="M661" s="1"/>
    </row>
    <row r="662" spans="1:13" ht="13.2" x14ac:dyDescent="0.25">
      <c r="A662" s="1"/>
      <c r="B662" s="1"/>
      <c r="C662" s="1"/>
      <c r="D662" s="1"/>
      <c r="E662" s="1"/>
      <c r="F662" s="1"/>
      <c r="G662" s="1"/>
      <c r="H662" s="1"/>
      <c r="I662" s="1"/>
      <c r="J662" s="1"/>
      <c r="K662" s="1"/>
      <c r="L662" s="1"/>
      <c r="M662" s="1"/>
    </row>
    <row r="663" spans="1:13" ht="13.2" x14ac:dyDescent="0.25">
      <c r="A663" s="1"/>
      <c r="B663" s="1"/>
      <c r="C663" s="1"/>
      <c r="D663" s="1"/>
      <c r="E663" s="1"/>
      <c r="F663" s="1"/>
      <c r="G663" s="1"/>
      <c r="H663" s="1"/>
      <c r="I663" s="1"/>
      <c r="J663" s="1"/>
      <c r="K663" s="1"/>
      <c r="L663" s="1"/>
      <c r="M663" s="1"/>
    </row>
    <row r="664" spans="1:13" ht="13.2" x14ac:dyDescent="0.25">
      <c r="A664" s="1"/>
      <c r="B664" s="1"/>
      <c r="C664" s="1"/>
      <c r="D664" s="1"/>
      <c r="E664" s="1"/>
      <c r="F664" s="1"/>
      <c r="G664" s="1"/>
      <c r="H664" s="1"/>
      <c r="I664" s="1"/>
      <c r="J664" s="1"/>
      <c r="K664" s="1"/>
      <c r="L664" s="1"/>
      <c r="M664" s="1"/>
    </row>
    <row r="665" spans="1:13" ht="13.2" x14ac:dyDescent="0.25">
      <c r="A665" s="1"/>
      <c r="B665" s="1"/>
      <c r="C665" s="1"/>
      <c r="D665" s="1"/>
      <c r="E665" s="1"/>
      <c r="F665" s="1"/>
      <c r="G665" s="1"/>
      <c r="H665" s="1"/>
      <c r="I665" s="1"/>
      <c r="J665" s="1"/>
      <c r="K665" s="1"/>
      <c r="L665" s="1"/>
      <c r="M665" s="1"/>
    </row>
    <row r="666" spans="1:13" ht="13.2" x14ac:dyDescent="0.25">
      <c r="A666" s="1"/>
      <c r="B666" s="1"/>
      <c r="C666" s="1"/>
      <c r="D666" s="1"/>
      <c r="E666" s="1"/>
      <c r="F666" s="1"/>
      <c r="G666" s="1"/>
      <c r="H666" s="1"/>
      <c r="I666" s="1"/>
      <c r="J666" s="1"/>
      <c r="K666" s="1"/>
      <c r="L666" s="1"/>
      <c r="M666" s="1"/>
    </row>
    <row r="667" spans="1:13" ht="13.2" x14ac:dyDescent="0.25">
      <c r="A667" s="1"/>
      <c r="B667" s="1"/>
      <c r="C667" s="1"/>
      <c r="D667" s="1"/>
      <c r="E667" s="1"/>
      <c r="F667" s="1"/>
      <c r="G667" s="1"/>
      <c r="H667" s="1"/>
      <c r="I667" s="1"/>
      <c r="J667" s="1"/>
      <c r="K667" s="1"/>
      <c r="L667" s="1"/>
      <c r="M667" s="1"/>
    </row>
    <row r="668" spans="1:13" ht="13.2" x14ac:dyDescent="0.25">
      <c r="A668" s="1"/>
      <c r="B668" s="1"/>
      <c r="C668" s="1"/>
      <c r="D668" s="1"/>
      <c r="E668" s="1"/>
      <c r="F668" s="1"/>
      <c r="G668" s="1"/>
      <c r="H668" s="1"/>
      <c r="I668" s="1"/>
      <c r="J668" s="1"/>
      <c r="K668" s="1"/>
      <c r="L668" s="1"/>
      <c r="M668" s="1"/>
    </row>
    <row r="669" spans="1:13" ht="13.2" x14ac:dyDescent="0.25">
      <c r="A669" s="1"/>
      <c r="B669" s="1"/>
      <c r="C669" s="1"/>
      <c r="D669" s="1"/>
      <c r="E669" s="1"/>
      <c r="F669" s="1"/>
      <c r="G669" s="1"/>
      <c r="H669" s="1"/>
      <c r="I669" s="1"/>
      <c r="J669" s="1"/>
      <c r="K669" s="1"/>
      <c r="L669" s="1"/>
      <c r="M669" s="1"/>
    </row>
    <row r="670" spans="1:13" ht="13.2" x14ac:dyDescent="0.25">
      <c r="A670" s="1"/>
      <c r="B670" s="1"/>
      <c r="C670" s="1"/>
      <c r="D670" s="1"/>
      <c r="E670" s="1"/>
      <c r="F670" s="1"/>
      <c r="G670" s="1"/>
      <c r="H670" s="1"/>
      <c r="I670" s="1"/>
      <c r="J670" s="1"/>
      <c r="K670" s="1"/>
      <c r="L670" s="1"/>
      <c r="M670" s="1"/>
    </row>
    <row r="671" spans="1:13" ht="13.2" x14ac:dyDescent="0.25">
      <c r="A671" s="1"/>
      <c r="B671" s="1"/>
      <c r="C671" s="1"/>
      <c r="D671" s="1"/>
      <c r="E671" s="1"/>
      <c r="F671" s="1"/>
      <c r="G671" s="1"/>
      <c r="H671" s="1"/>
      <c r="I671" s="1"/>
      <c r="J671" s="1"/>
      <c r="K671" s="1"/>
      <c r="L671" s="1"/>
      <c r="M671" s="1"/>
    </row>
    <row r="672" spans="1:13" ht="13.2" x14ac:dyDescent="0.25">
      <c r="A672" s="1"/>
      <c r="B672" s="1"/>
      <c r="C672" s="1"/>
      <c r="D672" s="1"/>
      <c r="E672" s="1"/>
      <c r="F672" s="1"/>
      <c r="G672" s="1"/>
      <c r="H672" s="1"/>
      <c r="I672" s="1"/>
      <c r="J672" s="1"/>
      <c r="K672" s="1"/>
      <c r="L672" s="1"/>
      <c r="M672" s="1"/>
    </row>
    <row r="673" spans="1:13" ht="13.2" x14ac:dyDescent="0.25">
      <c r="A673" s="1"/>
      <c r="B673" s="1"/>
      <c r="C673" s="1"/>
      <c r="D673" s="1"/>
      <c r="E673" s="1"/>
      <c r="F673" s="1"/>
      <c r="G673" s="1"/>
      <c r="H673" s="1"/>
      <c r="I673" s="1"/>
      <c r="J673" s="1"/>
      <c r="K673" s="1"/>
      <c r="L673" s="1"/>
      <c r="M673" s="1"/>
    </row>
    <row r="674" spans="1:13" ht="13.2" x14ac:dyDescent="0.25">
      <c r="A674" s="1"/>
      <c r="B674" s="1"/>
      <c r="C674" s="1"/>
      <c r="D674" s="1"/>
      <c r="E674" s="1"/>
      <c r="F674" s="1"/>
      <c r="G674" s="1"/>
      <c r="H674" s="1"/>
      <c r="I674" s="1"/>
      <c r="J674" s="1"/>
      <c r="K674" s="1"/>
      <c r="L674" s="1"/>
      <c r="M674" s="1"/>
    </row>
    <row r="675" spans="1:13" ht="13.2" x14ac:dyDescent="0.25">
      <c r="A675" s="1"/>
      <c r="B675" s="1"/>
      <c r="C675" s="1"/>
      <c r="D675" s="1"/>
      <c r="E675" s="1"/>
      <c r="F675" s="1"/>
      <c r="G675" s="1"/>
      <c r="H675" s="1"/>
      <c r="I675" s="1"/>
      <c r="J675" s="1"/>
      <c r="K675" s="1"/>
      <c r="L675" s="1"/>
      <c r="M675" s="1"/>
    </row>
    <row r="676" spans="1:13" ht="13.2" x14ac:dyDescent="0.25">
      <c r="A676" s="1"/>
      <c r="B676" s="1"/>
      <c r="C676" s="1"/>
      <c r="D676" s="1"/>
      <c r="E676" s="1"/>
      <c r="F676" s="1"/>
      <c r="G676" s="1"/>
      <c r="H676" s="1"/>
      <c r="I676" s="1"/>
      <c r="J676" s="1"/>
      <c r="K676" s="1"/>
      <c r="L676" s="1"/>
      <c r="M676" s="1"/>
    </row>
    <row r="677" spans="1:13" ht="13.2" x14ac:dyDescent="0.25">
      <c r="A677" s="1"/>
      <c r="B677" s="1"/>
      <c r="C677" s="1"/>
      <c r="D677" s="1"/>
      <c r="E677" s="1"/>
      <c r="F677" s="1"/>
      <c r="G677" s="1"/>
      <c r="H677" s="1"/>
      <c r="I677" s="1"/>
      <c r="J677" s="1"/>
      <c r="K677" s="1"/>
      <c r="L677" s="1"/>
      <c r="M677" s="1"/>
    </row>
    <row r="678" spans="1:13" ht="13.2" x14ac:dyDescent="0.25">
      <c r="A678" s="1"/>
      <c r="B678" s="1"/>
      <c r="C678" s="1"/>
      <c r="D678" s="1"/>
      <c r="E678" s="1"/>
      <c r="F678" s="1"/>
      <c r="G678" s="1"/>
      <c r="H678" s="1"/>
      <c r="I678" s="1"/>
      <c r="J678" s="1"/>
      <c r="K678" s="1"/>
      <c r="L678" s="1"/>
      <c r="M678" s="1"/>
    </row>
    <row r="679" spans="1:13" ht="13.2" x14ac:dyDescent="0.25">
      <c r="A679" s="1"/>
      <c r="B679" s="1"/>
      <c r="C679" s="1"/>
      <c r="D679" s="1"/>
      <c r="E679" s="1"/>
      <c r="F679" s="1"/>
      <c r="G679" s="1"/>
      <c r="H679" s="1"/>
      <c r="I679" s="1"/>
      <c r="J679" s="1"/>
      <c r="K679" s="1"/>
      <c r="L679" s="1"/>
      <c r="M679" s="1"/>
    </row>
    <row r="680" spans="1:13" ht="13.2" x14ac:dyDescent="0.25">
      <c r="A680" s="1"/>
      <c r="B680" s="1"/>
      <c r="C680" s="1"/>
      <c r="D680" s="1"/>
      <c r="E680" s="1"/>
      <c r="F680" s="1"/>
      <c r="G680" s="1"/>
      <c r="H680" s="1"/>
      <c r="I680" s="1"/>
      <c r="J680" s="1"/>
      <c r="K680" s="1"/>
      <c r="L680" s="1"/>
      <c r="M680" s="1"/>
    </row>
    <row r="681" spans="1:13" ht="13.2" x14ac:dyDescent="0.25">
      <c r="A681" s="1"/>
      <c r="B681" s="1"/>
      <c r="C681" s="1"/>
      <c r="D681" s="1"/>
      <c r="E681" s="1"/>
      <c r="F681" s="1"/>
      <c r="G681" s="1"/>
      <c r="H681" s="1"/>
      <c r="I681" s="1"/>
      <c r="J681" s="1"/>
      <c r="K681" s="1"/>
      <c r="L681" s="1"/>
      <c r="M681" s="1"/>
    </row>
    <row r="682" spans="1:13" ht="13.2" x14ac:dyDescent="0.25">
      <c r="A682" s="1"/>
      <c r="B682" s="1"/>
      <c r="C682" s="1"/>
      <c r="D682" s="1"/>
      <c r="E682" s="1"/>
      <c r="F682" s="1"/>
      <c r="G682" s="1"/>
      <c r="H682" s="1"/>
      <c r="I682" s="1"/>
      <c r="J682" s="1"/>
      <c r="K682" s="1"/>
      <c r="L682" s="1"/>
      <c r="M682" s="1"/>
    </row>
    <row r="683" spans="1:13" ht="13.2" x14ac:dyDescent="0.25">
      <c r="A683" s="1"/>
      <c r="B683" s="1"/>
      <c r="C683" s="1"/>
      <c r="D683" s="1"/>
      <c r="E683" s="1"/>
      <c r="F683" s="1"/>
      <c r="G683" s="1"/>
      <c r="H683" s="1"/>
      <c r="I683" s="1"/>
      <c r="J683" s="1"/>
      <c r="K683" s="1"/>
      <c r="L683" s="1"/>
      <c r="M683" s="1"/>
    </row>
    <row r="684" spans="1:13" ht="13.2" x14ac:dyDescent="0.25">
      <c r="A684" s="1"/>
      <c r="B684" s="1"/>
      <c r="C684" s="1"/>
      <c r="D684" s="1"/>
      <c r="E684" s="1"/>
      <c r="F684" s="1"/>
      <c r="G684" s="1"/>
      <c r="H684" s="1"/>
      <c r="I684" s="1"/>
      <c r="J684" s="1"/>
      <c r="K684" s="1"/>
      <c r="L684" s="1"/>
      <c r="M684" s="1"/>
    </row>
    <row r="685" spans="1:13" ht="13.2" x14ac:dyDescent="0.25">
      <c r="A685" s="1"/>
      <c r="B685" s="1"/>
      <c r="C685" s="1"/>
      <c r="D685" s="1"/>
      <c r="E685" s="1"/>
      <c r="F685" s="1"/>
      <c r="G685" s="1"/>
      <c r="H685" s="1"/>
      <c r="I685" s="1"/>
      <c r="J685" s="1"/>
      <c r="K685" s="1"/>
      <c r="L685" s="1"/>
      <c r="M685" s="1"/>
    </row>
    <row r="686" spans="1:13" ht="13.2" x14ac:dyDescent="0.25">
      <c r="A686" s="1"/>
      <c r="B686" s="1"/>
      <c r="C686" s="1"/>
      <c r="D686" s="1"/>
      <c r="E686" s="1"/>
      <c r="F686" s="1"/>
      <c r="G686" s="1"/>
      <c r="H686" s="1"/>
      <c r="I686" s="1"/>
      <c r="J686" s="1"/>
      <c r="K686" s="1"/>
      <c r="L686" s="1"/>
      <c r="M686" s="1"/>
    </row>
    <row r="687" spans="1:13" ht="13.2" x14ac:dyDescent="0.25">
      <c r="A687" s="1"/>
      <c r="B687" s="1"/>
      <c r="C687" s="1"/>
      <c r="D687" s="1"/>
      <c r="E687" s="1"/>
      <c r="F687" s="1"/>
      <c r="G687" s="1"/>
      <c r="H687" s="1"/>
      <c r="I687" s="1"/>
      <c r="J687" s="1"/>
      <c r="K687" s="1"/>
      <c r="L687" s="1"/>
      <c r="M687" s="1"/>
    </row>
    <row r="688" spans="1:13" ht="13.2" x14ac:dyDescent="0.25">
      <c r="A688" s="1"/>
      <c r="B688" s="1"/>
      <c r="C688" s="1"/>
      <c r="D688" s="1"/>
      <c r="E688" s="1"/>
      <c r="F688" s="1"/>
      <c r="G688" s="1"/>
      <c r="H688" s="1"/>
      <c r="I688" s="1"/>
      <c r="J688" s="1"/>
      <c r="K688" s="1"/>
      <c r="L688" s="1"/>
      <c r="M688" s="1"/>
    </row>
    <row r="689" spans="1:13" ht="13.2" x14ac:dyDescent="0.25">
      <c r="A689" s="1"/>
      <c r="B689" s="1"/>
      <c r="C689" s="1"/>
      <c r="D689" s="1"/>
      <c r="E689" s="1"/>
      <c r="F689" s="1"/>
      <c r="G689" s="1"/>
      <c r="H689" s="1"/>
      <c r="I689" s="1"/>
      <c r="J689" s="1"/>
      <c r="K689" s="1"/>
      <c r="L689" s="1"/>
      <c r="M689" s="1"/>
    </row>
    <row r="690" spans="1:13" ht="13.2" x14ac:dyDescent="0.25">
      <c r="A690" s="1"/>
      <c r="B690" s="1"/>
      <c r="C690" s="1"/>
      <c r="D690" s="1"/>
      <c r="E690" s="1"/>
      <c r="F690" s="1"/>
      <c r="G690" s="1"/>
      <c r="H690" s="1"/>
      <c r="I690" s="1"/>
      <c r="J690" s="1"/>
      <c r="K690" s="1"/>
      <c r="L690" s="1"/>
      <c r="M690" s="1"/>
    </row>
    <row r="691" spans="1:13" ht="13.2" x14ac:dyDescent="0.25">
      <c r="A691" s="1"/>
      <c r="B691" s="1"/>
      <c r="C691" s="1"/>
      <c r="D691" s="1"/>
      <c r="E691" s="1"/>
      <c r="F691" s="1"/>
      <c r="G691" s="1"/>
      <c r="H691" s="1"/>
      <c r="I691" s="1"/>
      <c r="J691" s="1"/>
      <c r="K691" s="1"/>
      <c r="L691" s="1"/>
      <c r="M691" s="1"/>
    </row>
    <row r="692" spans="1:13" ht="13.2" x14ac:dyDescent="0.25">
      <c r="A692" s="1"/>
      <c r="B692" s="1"/>
      <c r="C692" s="1"/>
      <c r="D692" s="1"/>
      <c r="E692" s="1"/>
      <c r="F692" s="1"/>
      <c r="G692" s="1"/>
      <c r="H692" s="1"/>
      <c r="I692" s="1"/>
      <c r="J692" s="1"/>
      <c r="K692" s="1"/>
      <c r="L692" s="1"/>
      <c r="M692" s="1"/>
    </row>
    <row r="693" spans="1:13" ht="13.2" x14ac:dyDescent="0.25">
      <c r="A693" s="1"/>
      <c r="B693" s="1"/>
      <c r="C693" s="1"/>
      <c r="D693" s="1"/>
      <c r="E693" s="1"/>
      <c r="F693" s="1"/>
      <c r="G693" s="1"/>
      <c r="H693" s="1"/>
      <c r="I693" s="1"/>
      <c r="J693" s="1"/>
      <c r="K693" s="1"/>
      <c r="L693" s="1"/>
      <c r="M693" s="1"/>
    </row>
    <row r="694" spans="1:13" ht="13.2" x14ac:dyDescent="0.25">
      <c r="A694" s="1"/>
      <c r="B694" s="1"/>
      <c r="C694" s="1"/>
      <c r="D694" s="1"/>
      <c r="E694" s="1"/>
      <c r="F694" s="1"/>
      <c r="G694" s="1"/>
      <c r="H694" s="1"/>
      <c r="I694" s="1"/>
      <c r="J694" s="1"/>
      <c r="K694" s="1"/>
      <c r="L694" s="1"/>
      <c r="M694" s="1"/>
    </row>
    <row r="695" spans="1:13" ht="13.2" x14ac:dyDescent="0.25">
      <c r="A695" s="1"/>
      <c r="B695" s="1"/>
      <c r="C695" s="1"/>
      <c r="D695" s="1"/>
      <c r="E695" s="1"/>
      <c r="F695" s="1"/>
      <c r="G695" s="1"/>
      <c r="H695" s="1"/>
      <c r="I695" s="1"/>
      <c r="J695" s="1"/>
      <c r="K695" s="1"/>
      <c r="L695" s="1"/>
      <c r="M695" s="1"/>
    </row>
    <row r="696" spans="1:13" ht="13.2" x14ac:dyDescent="0.25">
      <c r="A696" s="1"/>
      <c r="B696" s="1"/>
      <c r="C696" s="1"/>
      <c r="D696" s="1"/>
      <c r="E696" s="1"/>
      <c r="F696" s="1"/>
      <c r="G696" s="1"/>
      <c r="H696" s="1"/>
      <c r="I696" s="1"/>
      <c r="J696" s="1"/>
      <c r="K696" s="1"/>
      <c r="L696" s="1"/>
      <c r="M696" s="1"/>
    </row>
    <row r="697" spans="1:13" ht="13.2" x14ac:dyDescent="0.25">
      <c r="A697" s="1"/>
      <c r="B697" s="1"/>
      <c r="C697" s="1"/>
      <c r="D697" s="1"/>
      <c r="E697" s="1"/>
      <c r="F697" s="1"/>
      <c r="G697" s="1"/>
      <c r="H697" s="1"/>
      <c r="I697" s="1"/>
      <c r="J697" s="1"/>
      <c r="K697" s="1"/>
      <c r="L697" s="1"/>
      <c r="M697" s="1"/>
    </row>
    <row r="698" spans="1:13" ht="13.2" x14ac:dyDescent="0.25">
      <c r="A698" s="1"/>
      <c r="B698" s="1"/>
      <c r="C698" s="1"/>
      <c r="D698" s="1"/>
      <c r="E698" s="1"/>
      <c r="F698" s="1"/>
      <c r="G698" s="1"/>
      <c r="H698" s="1"/>
      <c r="I698" s="1"/>
      <c r="J698" s="1"/>
      <c r="K698" s="1"/>
      <c r="L698" s="1"/>
      <c r="M698" s="1"/>
    </row>
    <row r="699" spans="1:13" ht="13.2" x14ac:dyDescent="0.25">
      <c r="A699" s="1"/>
      <c r="B699" s="1"/>
      <c r="C699" s="1"/>
      <c r="D699" s="1"/>
      <c r="E699" s="1"/>
      <c r="F699" s="1"/>
      <c r="G699" s="1"/>
      <c r="H699" s="1"/>
      <c r="I699" s="1"/>
      <c r="J699" s="1"/>
      <c r="K699" s="1"/>
      <c r="L699" s="1"/>
      <c r="M699" s="1"/>
    </row>
    <row r="700" spans="1:13" ht="13.2" x14ac:dyDescent="0.25">
      <c r="A700" s="1"/>
      <c r="B700" s="1"/>
      <c r="C700" s="1"/>
      <c r="D700" s="1"/>
      <c r="E700" s="1"/>
      <c r="F700" s="1"/>
      <c r="G700" s="1"/>
      <c r="H700" s="1"/>
      <c r="I700" s="1"/>
      <c r="J700" s="1"/>
      <c r="K700" s="1"/>
      <c r="L700" s="1"/>
      <c r="M700" s="1"/>
    </row>
    <row r="701" spans="1:13" ht="13.2" x14ac:dyDescent="0.25">
      <c r="A701" s="1"/>
      <c r="B701" s="1"/>
      <c r="C701" s="1"/>
      <c r="D701" s="1"/>
      <c r="E701" s="1"/>
      <c r="F701" s="1"/>
      <c r="G701" s="1"/>
      <c r="H701" s="1"/>
      <c r="I701" s="1"/>
      <c r="J701" s="1"/>
      <c r="K701" s="1"/>
      <c r="L701" s="1"/>
      <c r="M701" s="1"/>
    </row>
    <row r="702" spans="1:13" ht="13.2" x14ac:dyDescent="0.25">
      <c r="A702" s="1"/>
      <c r="B702" s="1"/>
      <c r="C702" s="1"/>
      <c r="D702" s="1"/>
      <c r="E702" s="1"/>
      <c r="F702" s="1"/>
      <c r="G702" s="1"/>
      <c r="H702" s="1"/>
      <c r="I702" s="1"/>
      <c r="J702" s="1"/>
      <c r="K702" s="1"/>
      <c r="L702" s="1"/>
      <c r="M702" s="1"/>
    </row>
    <row r="703" spans="1:13" ht="13.2" x14ac:dyDescent="0.25">
      <c r="A703" s="1"/>
      <c r="B703" s="1"/>
      <c r="C703" s="1"/>
      <c r="D703" s="1"/>
      <c r="E703" s="1"/>
      <c r="F703" s="1"/>
      <c r="G703" s="1"/>
      <c r="H703" s="1"/>
      <c r="I703" s="1"/>
      <c r="J703" s="1"/>
      <c r="K703" s="1"/>
      <c r="L703" s="1"/>
      <c r="M703" s="1"/>
    </row>
    <row r="704" spans="1:13" ht="13.2" x14ac:dyDescent="0.25">
      <c r="A704" s="1"/>
      <c r="B704" s="1"/>
      <c r="C704" s="1"/>
      <c r="D704" s="1"/>
      <c r="E704" s="1"/>
      <c r="F704" s="1"/>
      <c r="G704" s="1"/>
      <c r="H704" s="1"/>
      <c r="I704" s="1"/>
      <c r="J704" s="1"/>
      <c r="K704" s="1"/>
      <c r="L704" s="1"/>
      <c r="M704" s="1"/>
    </row>
    <row r="705" spans="1:13" ht="13.2" x14ac:dyDescent="0.25">
      <c r="A705" s="1"/>
      <c r="B705" s="1"/>
      <c r="C705" s="1"/>
      <c r="D705" s="1"/>
      <c r="E705" s="1"/>
      <c r="F705" s="1"/>
      <c r="G705" s="1"/>
      <c r="H705" s="1"/>
      <c r="I705" s="1"/>
      <c r="J705" s="1"/>
      <c r="K705" s="1"/>
      <c r="L705" s="1"/>
      <c r="M705" s="1"/>
    </row>
    <row r="706" spans="1:13" ht="13.2" x14ac:dyDescent="0.25">
      <c r="A706" s="1"/>
      <c r="B706" s="1"/>
      <c r="C706" s="1"/>
      <c r="D706" s="1"/>
      <c r="E706" s="1"/>
      <c r="F706" s="1"/>
      <c r="G706" s="1"/>
      <c r="H706" s="1"/>
      <c r="I706" s="1"/>
      <c r="J706" s="1"/>
      <c r="K706" s="1"/>
      <c r="L706" s="1"/>
      <c r="M706" s="1"/>
    </row>
    <row r="707" spans="1:13" ht="13.2" x14ac:dyDescent="0.25">
      <c r="A707" s="1"/>
      <c r="B707" s="1"/>
      <c r="C707" s="1"/>
      <c r="D707" s="1"/>
      <c r="E707" s="1"/>
      <c r="F707" s="1"/>
      <c r="G707" s="1"/>
      <c r="H707" s="1"/>
      <c r="I707" s="1"/>
      <c r="J707" s="1"/>
      <c r="K707" s="1"/>
      <c r="L707" s="1"/>
      <c r="M707" s="1"/>
    </row>
    <row r="708" spans="1:13" ht="13.2" x14ac:dyDescent="0.25">
      <c r="A708" s="1"/>
      <c r="B708" s="1"/>
      <c r="C708" s="1"/>
      <c r="D708" s="1"/>
      <c r="E708" s="1"/>
      <c r="F708" s="1"/>
      <c r="G708" s="1"/>
      <c r="H708" s="1"/>
      <c r="I708" s="1"/>
      <c r="J708" s="1"/>
      <c r="K708" s="1"/>
      <c r="L708" s="1"/>
      <c r="M708" s="1"/>
    </row>
    <row r="709" spans="1:13" ht="13.2" x14ac:dyDescent="0.25">
      <c r="A709" s="1"/>
      <c r="B709" s="1"/>
      <c r="C709" s="1"/>
      <c r="D709" s="1"/>
      <c r="E709" s="1"/>
      <c r="F709" s="1"/>
      <c r="G709" s="1"/>
      <c r="H709" s="1"/>
      <c r="I709" s="1"/>
      <c r="J709" s="1"/>
      <c r="K709" s="1"/>
      <c r="L709" s="1"/>
      <c r="M709" s="1"/>
    </row>
    <row r="710" spans="1:13" ht="13.2" x14ac:dyDescent="0.25">
      <c r="A710" s="1"/>
      <c r="B710" s="1"/>
      <c r="C710" s="1"/>
      <c r="D710" s="1"/>
      <c r="E710" s="1"/>
      <c r="F710" s="1"/>
      <c r="G710" s="1"/>
      <c r="H710" s="1"/>
      <c r="I710" s="1"/>
      <c r="J710" s="1"/>
      <c r="K710" s="1"/>
      <c r="L710" s="1"/>
      <c r="M710" s="1"/>
    </row>
    <row r="711" spans="1:13" ht="13.2" x14ac:dyDescent="0.25">
      <c r="A711" s="1"/>
      <c r="B711" s="1"/>
      <c r="C711" s="1"/>
      <c r="D711" s="1"/>
      <c r="E711" s="1"/>
      <c r="F711" s="1"/>
      <c r="G711" s="1"/>
      <c r="H711" s="1"/>
      <c r="I711" s="1"/>
      <c r="J711" s="1"/>
      <c r="K711" s="1"/>
      <c r="L711" s="1"/>
      <c r="M711" s="1"/>
    </row>
    <row r="712" spans="1:13" ht="13.2" x14ac:dyDescent="0.25">
      <c r="A712" s="1"/>
      <c r="B712" s="1"/>
      <c r="C712" s="1"/>
      <c r="D712" s="1"/>
      <c r="E712" s="1"/>
      <c r="F712" s="1"/>
      <c r="G712" s="1"/>
      <c r="H712" s="1"/>
      <c r="I712" s="1"/>
      <c r="J712" s="1"/>
      <c r="K712" s="1"/>
      <c r="L712" s="1"/>
      <c r="M712" s="1"/>
    </row>
    <row r="713" spans="1:13" ht="13.2" x14ac:dyDescent="0.25">
      <c r="A713" s="1"/>
      <c r="B713" s="1"/>
      <c r="C713" s="1"/>
      <c r="D713" s="1"/>
      <c r="E713" s="1"/>
      <c r="F713" s="1"/>
      <c r="G713" s="1"/>
      <c r="H713" s="1"/>
      <c r="I713" s="1"/>
      <c r="J713" s="1"/>
      <c r="K713" s="1"/>
      <c r="L713" s="1"/>
      <c r="M713" s="1"/>
    </row>
    <row r="714" spans="1:13" ht="13.2" x14ac:dyDescent="0.25">
      <c r="A714" s="1"/>
      <c r="B714" s="1"/>
      <c r="C714" s="1"/>
      <c r="D714" s="1"/>
      <c r="E714" s="1"/>
      <c r="F714" s="1"/>
      <c r="G714" s="1"/>
      <c r="H714" s="1"/>
      <c r="I714" s="1"/>
      <c r="J714" s="1"/>
      <c r="K714" s="1"/>
      <c r="L714" s="1"/>
      <c r="M714" s="1"/>
    </row>
    <row r="715" spans="1:13" ht="13.2" x14ac:dyDescent="0.25">
      <c r="A715" s="1"/>
      <c r="B715" s="1"/>
      <c r="C715" s="1"/>
      <c r="D715" s="1"/>
      <c r="E715" s="1"/>
      <c r="F715" s="1"/>
      <c r="G715" s="1"/>
      <c r="H715" s="1"/>
      <c r="I715" s="1"/>
      <c r="J715" s="1"/>
      <c r="K715" s="1"/>
      <c r="L715" s="1"/>
      <c r="M715" s="1"/>
    </row>
    <row r="716" spans="1:13" ht="13.2" x14ac:dyDescent="0.25">
      <c r="A716" s="1"/>
      <c r="B716" s="1"/>
      <c r="C716" s="1"/>
      <c r="D716" s="1"/>
      <c r="E716" s="1"/>
      <c r="F716" s="1"/>
      <c r="G716" s="1"/>
      <c r="H716" s="1"/>
      <c r="I716" s="1"/>
      <c r="J716" s="1"/>
      <c r="K716" s="1"/>
      <c r="L716" s="1"/>
      <c r="M716" s="1"/>
    </row>
    <row r="717" spans="1:13" ht="13.2" x14ac:dyDescent="0.25">
      <c r="A717" s="1"/>
      <c r="B717" s="1"/>
      <c r="C717" s="1"/>
      <c r="D717" s="1"/>
      <c r="E717" s="1"/>
      <c r="F717" s="1"/>
      <c r="G717" s="1"/>
      <c r="H717" s="1"/>
      <c r="I717" s="1"/>
      <c r="J717" s="1"/>
      <c r="K717" s="1"/>
      <c r="L717" s="1"/>
      <c r="M717" s="1"/>
    </row>
    <row r="718" spans="1:13" ht="13.2" x14ac:dyDescent="0.25">
      <c r="A718" s="1"/>
      <c r="B718" s="1"/>
      <c r="C718" s="1"/>
      <c r="D718" s="1"/>
      <c r="E718" s="1"/>
      <c r="F718" s="1"/>
      <c r="G718" s="1"/>
      <c r="H718" s="1"/>
      <c r="I718" s="1"/>
      <c r="J718" s="1"/>
      <c r="K718" s="1"/>
      <c r="L718" s="1"/>
      <c r="M718" s="1"/>
    </row>
    <row r="719" spans="1:13" ht="13.2" x14ac:dyDescent="0.25">
      <c r="A719" s="1"/>
      <c r="B719" s="1"/>
      <c r="C719" s="1"/>
      <c r="D719" s="1"/>
      <c r="E719" s="1"/>
      <c r="F719" s="1"/>
      <c r="G719" s="1"/>
      <c r="H719" s="1"/>
      <c r="I719" s="1"/>
      <c r="J719" s="1"/>
      <c r="K719" s="1"/>
      <c r="L719" s="1"/>
      <c r="M719" s="1"/>
    </row>
    <row r="720" spans="1:13" ht="13.2" x14ac:dyDescent="0.25">
      <c r="A720" s="1"/>
      <c r="B720" s="1"/>
      <c r="C720" s="1"/>
      <c r="D720" s="1"/>
      <c r="E720" s="1"/>
      <c r="F720" s="1"/>
      <c r="G720" s="1"/>
      <c r="H720" s="1"/>
      <c r="I720" s="1"/>
      <c r="J720" s="1"/>
      <c r="K720" s="1"/>
      <c r="L720" s="1"/>
      <c r="M720" s="1"/>
    </row>
    <row r="721" spans="1:13" ht="13.2" x14ac:dyDescent="0.25">
      <c r="A721" s="1"/>
      <c r="B721" s="1"/>
      <c r="C721" s="1"/>
      <c r="D721" s="1"/>
      <c r="E721" s="1"/>
      <c r="F721" s="1"/>
      <c r="G721" s="1"/>
      <c r="H721" s="1"/>
      <c r="I721" s="1"/>
      <c r="J721" s="1"/>
      <c r="K721" s="1"/>
      <c r="L721" s="1"/>
      <c r="M721" s="1"/>
    </row>
    <row r="722" spans="1:13" ht="13.2" x14ac:dyDescent="0.25">
      <c r="A722" s="1"/>
      <c r="B722" s="1"/>
      <c r="C722" s="1"/>
      <c r="D722" s="1"/>
      <c r="E722" s="1"/>
      <c r="F722" s="1"/>
      <c r="G722" s="1"/>
      <c r="H722" s="1"/>
      <c r="I722" s="1"/>
      <c r="J722" s="1"/>
      <c r="K722" s="1"/>
      <c r="L722" s="1"/>
      <c r="M722" s="1"/>
    </row>
    <row r="723" spans="1:13" ht="13.2" x14ac:dyDescent="0.25">
      <c r="A723" s="1"/>
      <c r="B723" s="1"/>
      <c r="C723" s="1"/>
      <c r="D723" s="1"/>
      <c r="E723" s="1"/>
      <c r="F723" s="1"/>
      <c r="G723" s="1"/>
      <c r="H723" s="1"/>
      <c r="I723" s="1"/>
      <c r="J723" s="1"/>
      <c r="K723" s="1"/>
      <c r="L723" s="1"/>
      <c r="M723" s="1"/>
    </row>
    <row r="724" spans="1:13" ht="13.2" x14ac:dyDescent="0.25">
      <c r="A724" s="1"/>
      <c r="B724" s="1"/>
      <c r="C724" s="1"/>
      <c r="D724" s="1"/>
      <c r="E724" s="1"/>
      <c r="F724" s="1"/>
      <c r="G724" s="1"/>
      <c r="H724" s="1"/>
      <c r="I724" s="1"/>
      <c r="J724" s="1"/>
      <c r="K724" s="1"/>
      <c r="L724" s="1"/>
      <c r="M724" s="1"/>
    </row>
    <row r="725" spans="1:13" ht="13.2" x14ac:dyDescent="0.25">
      <c r="A725" s="1"/>
      <c r="B725" s="1"/>
      <c r="C725" s="1"/>
      <c r="D725" s="1"/>
      <c r="E725" s="1"/>
      <c r="F725" s="1"/>
      <c r="G725" s="1"/>
      <c r="H725" s="1"/>
      <c r="I725" s="1"/>
      <c r="J725" s="1"/>
      <c r="K725" s="1"/>
      <c r="L725" s="1"/>
      <c r="M725" s="1"/>
    </row>
    <row r="726" spans="1:13" ht="13.2" x14ac:dyDescent="0.25">
      <c r="A726" s="1"/>
      <c r="B726" s="1"/>
      <c r="C726" s="1"/>
      <c r="D726" s="1"/>
      <c r="E726" s="1"/>
      <c r="F726" s="1"/>
      <c r="G726" s="1"/>
      <c r="H726" s="1"/>
      <c r="I726" s="1"/>
      <c r="J726" s="1"/>
      <c r="K726" s="1"/>
      <c r="L726" s="1"/>
      <c r="M726" s="1"/>
    </row>
    <row r="727" spans="1:13" ht="13.2" x14ac:dyDescent="0.25">
      <c r="A727" s="1"/>
      <c r="B727" s="1"/>
      <c r="C727" s="1"/>
      <c r="D727" s="1"/>
      <c r="E727" s="1"/>
      <c r="F727" s="1"/>
      <c r="G727" s="1"/>
      <c r="H727" s="1"/>
      <c r="I727" s="1"/>
      <c r="J727" s="1"/>
      <c r="K727" s="1"/>
      <c r="L727" s="1"/>
      <c r="M727" s="1"/>
    </row>
    <row r="728" spans="1:13" ht="13.2" x14ac:dyDescent="0.25">
      <c r="A728" s="1"/>
      <c r="B728" s="1"/>
      <c r="C728" s="1"/>
      <c r="D728" s="1"/>
      <c r="E728" s="1"/>
      <c r="F728" s="1"/>
      <c r="G728" s="1"/>
      <c r="H728" s="1"/>
      <c r="I728" s="1"/>
      <c r="J728" s="1"/>
      <c r="K728" s="1"/>
      <c r="L728" s="1"/>
      <c r="M728" s="1"/>
    </row>
    <row r="729" spans="1:13" ht="13.2" x14ac:dyDescent="0.25">
      <c r="A729" s="1"/>
      <c r="B729" s="1"/>
      <c r="C729" s="1"/>
      <c r="D729" s="1"/>
      <c r="E729" s="1"/>
      <c r="F729" s="1"/>
      <c r="G729" s="1"/>
      <c r="H729" s="1"/>
      <c r="I729" s="1"/>
      <c r="J729" s="1"/>
      <c r="K729" s="1"/>
      <c r="L729" s="1"/>
      <c r="M729" s="1"/>
    </row>
    <row r="730" spans="1:13" ht="13.2" x14ac:dyDescent="0.25">
      <c r="A730" s="1"/>
      <c r="B730" s="1"/>
      <c r="C730" s="1"/>
      <c r="D730" s="1"/>
      <c r="E730" s="1"/>
      <c r="F730" s="1"/>
      <c r="G730" s="1"/>
      <c r="H730" s="1"/>
      <c r="I730" s="1"/>
      <c r="J730" s="1"/>
      <c r="K730" s="1"/>
      <c r="L730" s="1"/>
      <c r="M730" s="1"/>
    </row>
    <row r="731" spans="1:13" ht="13.2" x14ac:dyDescent="0.25">
      <c r="A731" s="1"/>
      <c r="B731" s="1"/>
      <c r="C731" s="1"/>
      <c r="D731" s="1"/>
      <c r="E731" s="1"/>
      <c r="F731" s="1"/>
      <c r="G731" s="1"/>
      <c r="H731" s="1"/>
      <c r="I731" s="1"/>
      <c r="J731" s="1"/>
      <c r="K731" s="1"/>
      <c r="L731" s="1"/>
      <c r="M731" s="1"/>
    </row>
    <row r="732" spans="1:13" ht="13.2" x14ac:dyDescent="0.25">
      <c r="A732" s="1"/>
      <c r="B732" s="1"/>
      <c r="C732" s="1"/>
      <c r="D732" s="1"/>
      <c r="E732" s="1"/>
      <c r="F732" s="1"/>
      <c r="G732" s="1"/>
      <c r="H732" s="1"/>
      <c r="I732" s="1"/>
      <c r="J732" s="1"/>
      <c r="K732" s="1"/>
      <c r="L732" s="1"/>
      <c r="M732" s="1"/>
    </row>
    <row r="733" spans="1:13" ht="13.2" x14ac:dyDescent="0.25">
      <c r="A733" s="1"/>
      <c r="B733" s="1"/>
      <c r="C733" s="1"/>
      <c r="D733" s="1"/>
      <c r="E733" s="1"/>
      <c r="F733" s="1"/>
      <c r="G733" s="1"/>
      <c r="H733" s="1"/>
      <c r="I733" s="1"/>
      <c r="J733" s="1"/>
      <c r="K733" s="1"/>
      <c r="L733" s="1"/>
      <c r="M733" s="1"/>
    </row>
    <row r="734" spans="1:13" ht="13.2" x14ac:dyDescent="0.25">
      <c r="A734" s="1"/>
      <c r="B734" s="1"/>
      <c r="C734" s="1"/>
      <c r="D734" s="1"/>
      <c r="E734" s="1"/>
      <c r="F734" s="1"/>
      <c r="G734" s="1"/>
      <c r="H734" s="1"/>
      <c r="I734" s="1"/>
      <c r="J734" s="1"/>
      <c r="K734" s="1"/>
      <c r="L734" s="1"/>
      <c r="M734" s="1"/>
    </row>
    <row r="735" spans="1:13" ht="13.2" x14ac:dyDescent="0.25">
      <c r="A735" s="1"/>
      <c r="B735" s="1"/>
      <c r="C735" s="1"/>
      <c r="D735" s="1"/>
      <c r="E735" s="1"/>
      <c r="F735" s="1"/>
      <c r="G735" s="1"/>
      <c r="H735" s="1"/>
      <c r="I735" s="1"/>
      <c r="J735" s="1"/>
      <c r="K735" s="1"/>
      <c r="L735" s="1"/>
      <c r="M735" s="1"/>
    </row>
    <row r="736" spans="1:13" ht="13.2" x14ac:dyDescent="0.25">
      <c r="A736" s="1"/>
      <c r="B736" s="1"/>
      <c r="C736" s="1"/>
      <c r="D736" s="1"/>
      <c r="E736" s="1"/>
      <c r="F736" s="1"/>
      <c r="G736" s="1"/>
      <c r="H736" s="1"/>
      <c r="I736" s="1"/>
      <c r="J736" s="1"/>
      <c r="K736" s="1"/>
      <c r="L736" s="1"/>
      <c r="M736" s="1"/>
    </row>
    <row r="737" spans="1:13" ht="13.2" x14ac:dyDescent="0.25">
      <c r="A737" s="1"/>
      <c r="B737" s="1"/>
      <c r="C737" s="1"/>
      <c r="D737" s="1"/>
      <c r="E737" s="1"/>
      <c r="F737" s="1"/>
      <c r="G737" s="1"/>
      <c r="H737" s="1"/>
      <c r="I737" s="1"/>
      <c r="J737" s="1"/>
      <c r="K737" s="1"/>
      <c r="L737" s="1"/>
      <c r="M737" s="1"/>
    </row>
    <row r="738" spans="1:13" ht="13.2" x14ac:dyDescent="0.25">
      <c r="A738" s="1"/>
      <c r="B738" s="1"/>
      <c r="C738" s="1"/>
      <c r="D738" s="1"/>
      <c r="E738" s="1"/>
      <c r="F738" s="1"/>
      <c r="G738" s="1"/>
      <c r="H738" s="1"/>
      <c r="I738" s="1"/>
      <c r="J738" s="1"/>
      <c r="K738" s="1"/>
      <c r="L738" s="1"/>
      <c r="M738" s="1"/>
    </row>
    <row r="739" spans="1:13" ht="13.2" x14ac:dyDescent="0.25">
      <c r="A739" s="1"/>
      <c r="B739" s="1"/>
      <c r="C739" s="1"/>
      <c r="D739" s="1"/>
      <c r="E739" s="1"/>
      <c r="F739" s="1"/>
      <c r="G739" s="1"/>
      <c r="H739" s="1"/>
      <c r="I739" s="1"/>
      <c r="J739" s="1"/>
      <c r="K739" s="1"/>
      <c r="L739" s="1"/>
      <c r="M739" s="1"/>
    </row>
    <row r="740" spans="1:13" ht="13.2" x14ac:dyDescent="0.25">
      <c r="A740" s="1"/>
      <c r="B740" s="1"/>
      <c r="C740" s="1"/>
      <c r="D740" s="1"/>
      <c r="E740" s="1"/>
      <c r="F740" s="1"/>
      <c r="G740" s="1"/>
      <c r="H740" s="1"/>
      <c r="I740" s="1"/>
      <c r="J740" s="1"/>
      <c r="K740" s="1"/>
      <c r="L740" s="1"/>
      <c r="M740" s="1"/>
    </row>
    <row r="741" spans="1:13" ht="13.2" x14ac:dyDescent="0.25">
      <c r="A741" s="1"/>
      <c r="B741" s="1"/>
      <c r="C741" s="1"/>
      <c r="D741" s="1"/>
      <c r="E741" s="1"/>
      <c r="F741" s="1"/>
      <c r="G741" s="1"/>
      <c r="H741" s="1"/>
      <c r="I741" s="1"/>
      <c r="J741" s="1"/>
      <c r="K741" s="1"/>
      <c r="L741" s="1"/>
      <c r="M741" s="1"/>
    </row>
    <row r="742" spans="1:13" ht="13.2" x14ac:dyDescent="0.25">
      <c r="A742" s="1"/>
      <c r="B742" s="1"/>
      <c r="C742" s="1"/>
      <c r="D742" s="1"/>
      <c r="E742" s="1"/>
      <c r="F742" s="1"/>
      <c r="G742" s="1"/>
      <c r="H742" s="1"/>
      <c r="I742" s="1"/>
      <c r="J742" s="1"/>
      <c r="K742" s="1"/>
      <c r="L742" s="1"/>
      <c r="M742" s="1"/>
    </row>
    <row r="743" spans="1:13" ht="13.2" x14ac:dyDescent="0.25">
      <c r="A743" s="1"/>
      <c r="B743" s="1"/>
      <c r="C743" s="1"/>
      <c r="D743" s="1"/>
      <c r="E743" s="1"/>
      <c r="F743" s="1"/>
      <c r="G743" s="1"/>
      <c r="H743" s="1"/>
      <c r="I743" s="1"/>
      <c r="J743" s="1"/>
      <c r="K743" s="1"/>
      <c r="L743" s="1"/>
      <c r="M743" s="1"/>
    </row>
    <row r="744" spans="1:13" ht="13.2" x14ac:dyDescent="0.25">
      <c r="A744" s="1"/>
      <c r="B744" s="1"/>
      <c r="C744" s="1"/>
      <c r="D744" s="1"/>
      <c r="E744" s="1"/>
      <c r="F744" s="1"/>
      <c r="G744" s="1"/>
      <c r="H744" s="1"/>
      <c r="I744" s="1"/>
      <c r="J744" s="1"/>
      <c r="K744" s="1"/>
      <c r="L744" s="1"/>
      <c r="M744" s="1"/>
    </row>
    <row r="745" spans="1:13" ht="13.2" x14ac:dyDescent="0.25">
      <c r="A745" s="1"/>
      <c r="B745" s="1"/>
      <c r="C745" s="1"/>
      <c r="D745" s="1"/>
      <c r="E745" s="1"/>
      <c r="F745" s="1"/>
      <c r="G745" s="1"/>
      <c r="H745" s="1"/>
      <c r="I745" s="1"/>
      <c r="J745" s="1"/>
      <c r="K745" s="1"/>
      <c r="L745" s="1"/>
      <c r="M745" s="1"/>
    </row>
    <row r="746" spans="1:13" ht="13.2" x14ac:dyDescent="0.25">
      <c r="A746" s="1"/>
      <c r="B746" s="1"/>
      <c r="C746" s="1"/>
      <c r="D746" s="1"/>
      <c r="E746" s="1"/>
      <c r="F746" s="1"/>
      <c r="G746" s="1"/>
      <c r="H746" s="1"/>
      <c r="I746" s="1"/>
      <c r="J746" s="1"/>
      <c r="K746" s="1"/>
      <c r="L746" s="1"/>
      <c r="M746" s="1"/>
    </row>
    <row r="747" spans="1:13" ht="13.2" x14ac:dyDescent="0.25">
      <c r="A747" s="1"/>
      <c r="B747" s="1"/>
      <c r="C747" s="1"/>
      <c r="D747" s="1"/>
      <c r="E747" s="1"/>
      <c r="F747" s="1"/>
      <c r="G747" s="1"/>
      <c r="H747" s="1"/>
      <c r="I747" s="1"/>
      <c r="J747" s="1"/>
      <c r="K747" s="1"/>
      <c r="L747" s="1"/>
      <c r="M747" s="1"/>
    </row>
    <row r="748" spans="1:13" ht="13.2" x14ac:dyDescent="0.25">
      <c r="A748" s="1"/>
      <c r="B748" s="1"/>
      <c r="C748" s="1"/>
      <c r="D748" s="1"/>
      <c r="E748" s="1"/>
      <c r="F748" s="1"/>
      <c r="G748" s="1"/>
      <c r="H748" s="1"/>
      <c r="I748" s="1"/>
      <c r="J748" s="1"/>
      <c r="K748" s="1"/>
      <c r="L748" s="1"/>
      <c r="M748" s="1"/>
    </row>
    <row r="749" spans="1:13" ht="13.2" x14ac:dyDescent="0.25">
      <c r="A749" s="1"/>
      <c r="B749" s="1"/>
      <c r="C749" s="1"/>
      <c r="D749" s="1"/>
      <c r="E749" s="1"/>
      <c r="F749" s="1"/>
      <c r="G749" s="1"/>
      <c r="H749" s="1"/>
      <c r="I749" s="1"/>
      <c r="J749" s="1"/>
      <c r="K749" s="1"/>
      <c r="L749" s="1"/>
      <c r="M749" s="1"/>
    </row>
    <row r="750" spans="1:13" ht="13.2" x14ac:dyDescent="0.25">
      <c r="A750" s="1"/>
      <c r="B750" s="1"/>
      <c r="C750" s="1"/>
      <c r="D750" s="1"/>
      <c r="E750" s="1"/>
      <c r="F750" s="1"/>
      <c r="G750" s="1"/>
      <c r="H750" s="1"/>
      <c r="I750" s="1"/>
      <c r="J750" s="1"/>
      <c r="K750" s="1"/>
      <c r="L750" s="1"/>
      <c r="M750" s="1"/>
    </row>
    <row r="751" spans="1:13" ht="13.2" x14ac:dyDescent="0.25">
      <c r="A751" s="1"/>
      <c r="B751" s="1"/>
      <c r="C751" s="1"/>
      <c r="D751" s="1"/>
      <c r="E751" s="1"/>
      <c r="F751" s="1"/>
      <c r="G751" s="1"/>
      <c r="H751" s="1"/>
      <c r="I751" s="1"/>
      <c r="J751" s="1"/>
      <c r="K751" s="1"/>
      <c r="L751" s="1"/>
      <c r="M751" s="1"/>
    </row>
    <row r="752" spans="1:13" ht="13.2" x14ac:dyDescent="0.25">
      <c r="A752" s="1"/>
      <c r="B752" s="1"/>
      <c r="C752" s="1"/>
      <c r="D752" s="1"/>
      <c r="E752" s="1"/>
      <c r="F752" s="1"/>
      <c r="G752" s="1"/>
      <c r="H752" s="1"/>
      <c r="I752" s="1"/>
      <c r="J752" s="1"/>
      <c r="K752" s="1"/>
      <c r="L752" s="1"/>
      <c r="M752" s="1"/>
    </row>
    <row r="753" spans="1:13" ht="13.2" x14ac:dyDescent="0.25">
      <c r="A753" s="1"/>
      <c r="B753" s="1"/>
      <c r="C753" s="1"/>
      <c r="D753" s="1"/>
      <c r="E753" s="1"/>
      <c r="F753" s="1"/>
      <c r="G753" s="1"/>
      <c r="H753" s="1"/>
      <c r="I753" s="1"/>
      <c r="J753" s="1"/>
      <c r="K753" s="1"/>
      <c r="L753" s="1"/>
      <c r="M753" s="1"/>
    </row>
    <row r="754" spans="1:13" ht="13.2" x14ac:dyDescent="0.25">
      <c r="A754" s="1"/>
      <c r="B754" s="1"/>
      <c r="C754" s="1"/>
      <c r="D754" s="1"/>
      <c r="E754" s="1"/>
      <c r="F754" s="1"/>
      <c r="G754" s="1"/>
      <c r="H754" s="1"/>
      <c r="I754" s="1"/>
      <c r="J754" s="1"/>
      <c r="K754" s="1"/>
      <c r="L754" s="1"/>
      <c r="M754" s="1"/>
    </row>
    <row r="755" spans="1:13" ht="13.2" x14ac:dyDescent="0.25">
      <c r="A755" s="1"/>
      <c r="B755" s="1"/>
      <c r="C755" s="1"/>
      <c r="D755" s="1"/>
      <c r="E755" s="1"/>
      <c r="F755" s="1"/>
      <c r="G755" s="1"/>
      <c r="H755" s="1"/>
      <c r="I755" s="1"/>
      <c r="J755" s="1"/>
      <c r="K755" s="1"/>
      <c r="L755" s="1"/>
      <c r="M755" s="1"/>
    </row>
    <row r="756" spans="1:13" ht="13.2" x14ac:dyDescent="0.25">
      <c r="A756" s="1"/>
      <c r="B756" s="1"/>
      <c r="C756" s="1"/>
      <c r="D756" s="1"/>
      <c r="E756" s="1"/>
      <c r="F756" s="1"/>
      <c r="G756" s="1"/>
      <c r="H756" s="1"/>
      <c r="I756" s="1"/>
      <c r="J756" s="1"/>
      <c r="K756" s="1"/>
      <c r="L756" s="1"/>
      <c r="M756" s="1"/>
    </row>
    <row r="757" spans="1:13" ht="13.2" x14ac:dyDescent="0.25">
      <c r="A757" s="1"/>
      <c r="B757" s="1"/>
      <c r="C757" s="1"/>
      <c r="D757" s="1"/>
      <c r="E757" s="1"/>
      <c r="F757" s="1"/>
      <c r="G757" s="1"/>
      <c r="H757" s="1"/>
      <c r="I757" s="1"/>
      <c r="J757" s="1"/>
      <c r="K757" s="1"/>
      <c r="L757" s="1"/>
      <c r="M757" s="1"/>
    </row>
    <row r="758" spans="1:13" ht="13.2" x14ac:dyDescent="0.25">
      <c r="A758" s="1"/>
      <c r="B758" s="1"/>
      <c r="C758" s="1"/>
      <c r="D758" s="1"/>
      <c r="E758" s="1"/>
      <c r="F758" s="1"/>
      <c r="G758" s="1"/>
      <c r="H758" s="1"/>
      <c r="I758" s="1"/>
      <c r="J758" s="1"/>
      <c r="K758" s="1"/>
      <c r="L758" s="1"/>
      <c r="M758" s="1"/>
    </row>
    <row r="759" spans="1:13" ht="13.2" x14ac:dyDescent="0.25">
      <c r="A759" s="1"/>
      <c r="B759" s="1"/>
      <c r="C759" s="1"/>
      <c r="D759" s="1"/>
      <c r="E759" s="1"/>
      <c r="F759" s="1"/>
      <c r="G759" s="1"/>
      <c r="H759" s="1"/>
      <c r="I759" s="1"/>
      <c r="J759" s="1"/>
      <c r="K759" s="1"/>
      <c r="L759" s="1"/>
      <c r="M759" s="1"/>
    </row>
    <row r="760" spans="1:13" ht="13.2" x14ac:dyDescent="0.25">
      <c r="A760" s="1"/>
      <c r="B760" s="1"/>
      <c r="C760" s="1"/>
      <c r="D760" s="1"/>
      <c r="E760" s="1"/>
      <c r="F760" s="1"/>
      <c r="G760" s="1"/>
      <c r="H760" s="1"/>
      <c r="I760" s="1"/>
      <c r="J760" s="1"/>
      <c r="K760" s="1"/>
      <c r="L760" s="1"/>
      <c r="M760" s="1"/>
    </row>
    <row r="761" spans="1:13" ht="13.2" x14ac:dyDescent="0.25">
      <c r="A761" s="1"/>
      <c r="B761" s="1"/>
      <c r="C761" s="1"/>
      <c r="D761" s="1"/>
      <c r="E761" s="1"/>
      <c r="F761" s="1"/>
      <c r="G761" s="1"/>
      <c r="H761" s="1"/>
      <c r="I761" s="1"/>
      <c r="J761" s="1"/>
      <c r="K761" s="1"/>
      <c r="L761" s="1"/>
      <c r="M761" s="1"/>
    </row>
    <row r="762" spans="1:13" ht="13.2" x14ac:dyDescent="0.25">
      <c r="A762" s="1"/>
      <c r="B762" s="1"/>
      <c r="C762" s="1"/>
      <c r="D762" s="1"/>
      <c r="E762" s="1"/>
      <c r="F762" s="1"/>
      <c r="G762" s="1"/>
      <c r="H762" s="1"/>
      <c r="I762" s="1"/>
      <c r="J762" s="1"/>
      <c r="K762" s="1"/>
      <c r="L762" s="1"/>
      <c r="M762" s="1"/>
    </row>
    <row r="763" spans="1:13" ht="13.2" x14ac:dyDescent="0.25">
      <c r="A763" s="1"/>
      <c r="B763" s="1"/>
      <c r="C763" s="1"/>
      <c r="D763" s="1"/>
      <c r="E763" s="1"/>
      <c r="F763" s="1"/>
      <c r="G763" s="1"/>
      <c r="H763" s="1"/>
      <c r="I763" s="1"/>
      <c r="J763" s="1"/>
      <c r="K763" s="1"/>
      <c r="L763" s="1"/>
      <c r="M763" s="1"/>
    </row>
    <row r="764" spans="1:13" ht="13.2" x14ac:dyDescent="0.25">
      <c r="A764" s="1"/>
      <c r="B764" s="1"/>
      <c r="C764" s="1"/>
      <c r="D764" s="1"/>
      <c r="E764" s="1"/>
      <c r="F764" s="1"/>
      <c r="G764" s="1"/>
      <c r="H764" s="1"/>
      <c r="I764" s="1"/>
      <c r="J764" s="1"/>
      <c r="K764" s="1"/>
      <c r="L764" s="1"/>
      <c r="M764" s="1"/>
    </row>
    <row r="765" spans="1:13" ht="13.2" x14ac:dyDescent="0.25">
      <c r="A765" s="1"/>
      <c r="B765" s="1"/>
      <c r="C765" s="1"/>
      <c r="D765" s="1"/>
      <c r="E765" s="1"/>
      <c r="F765" s="1"/>
      <c r="G765" s="1"/>
      <c r="H765" s="1"/>
      <c r="I765" s="1"/>
      <c r="J765" s="1"/>
      <c r="K765" s="1"/>
      <c r="L765" s="1"/>
      <c r="M765" s="1"/>
    </row>
    <row r="766" spans="1:13" ht="13.2" x14ac:dyDescent="0.25">
      <c r="A766" s="1"/>
      <c r="B766" s="1"/>
      <c r="C766" s="1"/>
      <c r="D766" s="1"/>
      <c r="E766" s="1"/>
      <c r="F766" s="1"/>
      <c r="G766" s="1"/>
      <c r="H766" s="1"/>
      <c r="I766" s="1"/>
      <c r="J766" s="1"/>
      <c r="K766" s="1"/>
      <c r="L766" s="1"/>
      <c r="M766" s="1"/>
    </row>
    <row r="767" spans="1:13" ht="13.2" x14ac:dyDescent="0.25">
      <c r="A767" s="1"/>
      <c r="B767" s="1"/>
      <c r="C767" s="1"/>
      <c r="D767" s="1"/>
      <c r="E767" s="1"/>
      <c r="F767" s="1"/>
      <c r="G767" s="1"/>
      <c r="H767" s="1"/>
      <c r="I767" s="1"/>
      <c r="J767" s="1"/>
      <c r="K767" s="1"/>
      <c r="L767" s="1"/>
      <c r="M767" s="1"/>
    </row>
    <row r="768" spans="1:13" ht="13.2" x14ac:dyDescent="0.25">
      <c r="A768" s="1"/>
      <c r="B768" s="1"/>
      <c r="C768" s="1"/>
      <c r="D768" s="1"/>
      <c r="E768" s="1"/>
      <c r="F768" s="1"/>
      <c r="G768" s="1"/>
      <c r="H768" s="1"/>
      <c r="I768" s="1"/>
      <c r="J768" s="1"/>
      <c r="K768" s="1"/>
      <c r="L768" s="1"/>
      <c r="M768" s="1"/>
    </row>
    <row r="769" spans="1:13" ht="13.2" x14ac:dyDescent="0.25">
      <c r="A769" s="1"/>
      <c r="B769" s="1"/>
      <c r="C769" s="1"/>
      <c r="D769" s="1"/>
      <c r="E769" s="1"/>
      <c r="F769" s="1"/>
      <c r="G769" s="1"/>
      <c r="H769" s="1"/>
      <c r="I769" s="1"/>
      <c r="J769" s="1"/>
      <c r="K769" s="1"/>
      <c r="L769" s="1"/>
      <c r="M769" s="1"/>
    </row>
    <row r="770" spans="1:13" ht="13.2" x14ac:dyDescent="0.25">
      <c r="A770" s="1"/>
      <c r="B770" s="1"/>
      <c r="C770" s="1"/>
      <c r="D770" s="1"/>
      <c r="E770" s="1"/>
      <c r="F770" s="1"/>
      <c r="G770" s="1"/>
      <c r="H770" s="1"/>
      <c r="I770" s="1"/>
      <c r="J770" s="1"/>
      <c r="K770" s="1"/>
      <c r="L770" s="1"/>
      <c r="M770" s="1"/>
    </row>
    <row r="771" spans="1:13" ht="13.2" x14ac:dyDescent="0.25">
      <c r="A771" s="1"/>
      <c r="B771" s="1"/>
      <c r="C771" s="1"/>
      <c r="D771" s="1"/>
      <c r="E771" s="1"/>
      <c r="F771" s="1"/>
      <c r="G771" s="1"/>
      <c r="H771" s="1"/>
      <c r="I771" s="1"/>
      <c r="J771" s="1"/>
      <c r="K771" s="1"/>
      <c r="L771" s="1"/>
      <c r="M771" s="1"/>
    </row>
    <row r="772" spans="1:13" ht="13.2" x14ac:dyDescent="0.25">
      <c r="A772" s="1"/>
      <c r="B772" s="1"/>
      <c r="C772" s="1"/>
      <c r="D772" s="1"/>
      <c r="E772" s="1"/>
      <c r="F772" s="1"/>
      <c r="G772" s="1"/>
      <c r="H772" s="1"/>
      <c r="I772" s="1"/>
      <c r="J772" s="1"/>
      <c r="K772" s="1"/>
      <c r="L772" s="1"/>
      <c r="M772" s="1"/>
    </row>
    <row r="773" spans="1:13" ht="13.2" x14ac:dyDescent="0.25">
      <c r="A773" s="1"/>
      <c r="B773" s="1"/>
      <c r="C773" s="1"/>
      <c r="D773" s="1"/>
      <c r="E773" s="1"/>
      <c r="F773" s="1"/>
      <c r="G773" s="1"/>
      <c r="H773" s="1"/>
      <c r="I773" s="1"/>
      <c r="J773" s="1"/>
      <c r="K773" s="1"/>
      <c r="L773" s="1"/>
      <c r="M773" s="1"/>
    </row>
    <row r="774" spans="1:13" ht="13.2" x14ac:dyDescent="0.25">
      <c r="A774" s="1"/>
      <c r="B774" s="1"/>
      <c r="C774" s="1"/>
      <c r="D774" s="1"/>
      <c r="E774" s="1"/>
      <c r="F774" s="1"/>
      <c r="G774" s="1"/>
      <c r="H774" s="1"/>
      <c r="I774" s="1"/>
      <c r="J774" s="1"/>
      <c r="K774" s="1"/>
      <c r="L774" s="1"/>
      <c r="M774" s="1"/>
    </row>
    <row r="775" spans="1:13" ht="13.2" x14ac:dyDescent="0.25">
      <c r="A775" s="1"/>
      <c r="B775" s="1"/>
      <c r="C775" s="1"/>
      <c r="D775" s="1"/>
      <c r="E775" s="1"/>
      <c r="F775" s="1"/>
      <c r="G775" s="1"/>
      <c r="H775" s="1"/>
      <c r="I775" s="1"/>
      <c r="J775" s="1"/>
      <c r="K775" s="1"/>
      <c r="L775" s="1"/>
      <c r="M775" s="1"/>
    </row>
    <row r="776" spans="1:13" ht="13.2" x14ac:dyDescent="0.25">
      <c r="A776" s="1"/>
      <c r="B776" s="1"/>
      <c r="C776" s="1"/>
      <c r="D776" s="1"/>
      <c r="E776" s="1"/>
      <c r="F776" s="1"/>
      <c r="G776" s="1"/>
      <c r="H776" s="1"/>
      <c r="I776" s="1"/>
      <c r="J776" s="1"/>
      <c r="K776" s="1"/>
      <c r="L776" s="1"/>
      <c r="M776" s="1"/>
    </row>
    <row r="777" spans="1:13" ht="13.2" x14ac:dyDescent="0.25">
      <c r="A777" s="1"/>
      <c r="B777" s="1"/>
      <c r="C777" s="1"/>
      <c r="D777" s="1"/>
      <c r="E777" s="1"/>
      <c r="F777" s="1"/>
      <c r="G777" s="1"/>
      <c r="H777" s="1"/>
      <c r="I777" s="1"/>
      <c r="J777" s="1"/>
      <c r="K777" s="1"/>
      <c r="L777" s="1"/>
      <c r="M777" s="1"/>
    </row>
    <row r="778" spans="1:13" ht="13.2" x14ac:dyDescent="0.25">
      <c r="A778" s="1"/>
      <c r="B778" s="1"/>
      <c r="C778" s="1"/>
      <c r="D778" s="1"/>
      <c r="E778" s="1"/>
      <c r="F778" s="1"/>
      <c r="G778" s="1"/>
      <c r="H778" s="1"/>
      <c r="I778" s="1"/>
      <c r="J778" s="1"/>
      <c r="K778" s="1"/>
      <c r="L778" s="1"/>
      <c r="M778" s="1"/>
    </row>
    <row r="779" spans="1:13" ht="13.2" x14ac:dyDescent="0.25">
      <c r="A779" s="1"/>
      <c r="B779" s="1"/>
      <c r="C779" s="1"/>
      <c r="D779" s="1"/>
      <c r="E779" s="1"/>
      <c r="F779" s="1"/>
      <c r="G779" s="1"/>
      <c r="H779" s="1"/>
      <c r="I779" s="1"/>
      <c r="J779" s="1"/>
      <c r="K779" s="1"/>
      <c r="L779" s="1"/>
      <c r="M779" s="1"/>
    </row>
    <row r="780" spans="1:13" ht="13.2" x14ac:dyDescent="0.25">
      <c r="A780" s="1"/>
      <c r="B780" s="1"/>
      <c r="C780" s="1"/>
      <c r="D780" s="1"/>
      <c r="E780" s="1"/>
      <c r="F780" s="1"/>
      <c r="G780" s="1"/>
      <c r="H780" s="1"/>
      <c r="I780" s="1"/>
      <c r="J780" s="1"/>
      <c r="K780" s="1"/>
      <c r="L780" s="1"/>
      <c r="M780" s="1"/>
    </row>
    <row r="781" spans="1:13" ht="13.2" x14ac:dyDescent="0.25">
      <c r="A781" s="1"/>
      <c r="B781" s="1"/>
      <c r="C781" s="1"/>
      <c r="D781" s="1"/>
      <c r="E781" s="1"/>
      <c r="F781" s="1"/>
      <c r="G781" s="1"/>
      <c r="H781" s="1"/>
      <c r="I781" s="1"/>
      <c r="J781" s="1"/>
      <c r="K781" s="1"/>
      <c r="L781" s="1"/>
      <c r="M781" s="1"/>
    </row>
    <row r="782" spans="1:13" ht="13.2" x14ac:dyDescent="0.25">
      <c r="A782" s="1"/>
      <c r="B782" s="1"/>
      <c r="C782" s="1"/>
      <c r="D782" s="1"/>
      <c r="E782" s="1"/>
      <c r="F782" s="1"/>
      <c r="G782" s="1"/>
      <c r="H782" s="1"/>
      <c r="I782" s="1"/>
      <c r="J782" s="1"/>
      <c r="K782" s="1"/>
      <c r="L782" s="1"/>
      <c r="M782" s="1"/>
    </row>
    <row r="783" spans="1:13" ht="13.2" x14ac:dyDescent="0.25">
      <c r="A783" s="1"/>
      <c r="B783" s="1"/>
      <c r="C783" s="1"/>
      <c r="D783" s="1"/>
      <c r="E783" s="1"/>
      <c r="F783" s="1"/>
      <c r="G783" s="1"/>
      <c r="H783" s="1"/>
      <c r="I783" s="1"/>
      <c r="J783" s="1"/>
      <c r="K783" s="1"/>
      <c r="L783" s="1"/>
      <c r="M783" s="1"/>
    </row>
    <row r="784" spans="1:13" ht="13.2" x14ac:dyDescent="0.25">
      <c r="A784" s="1"/>
      <c r="B784" s="1"/>
      <c r="C784" s="1"/>
      <c r="D784" s="1"/>
      <c r="E784" s="1"/>
      <c r="F784" s="1"/>
      <c r="G784" s="1"/>
      <c r="H784" s="1"/>
      <c r="I784" s="1"/>
      <c r="J784" s="1"/>
      <c r="K784" s="1"/>
      <c r="L784" s="1"/>
      <c r="M784" s="1"/>
    </row>
    <row r="785" spans="1:13" ht="13.2" x14ac:dyDescent="0.25">
      <c r="A785" s="1"/>
      <c r="B785" s="1"/>
      <c r="C785" s="1"/>
      <c r="D785" s="1"/>
      <c r="E785" s="1"/>
      <c r="F785" s="1"/>
      <c r="G785" s="1"/>
      <c r="H785" s="1"/>
      <c r="I785" s="1"/>
      <c r="J785" s="1"/>
      <c r="K785" s="1"/>
      <c r="L785" s="1"/>
      <c r="M785" s="1"/>
    </row>
    <row r="786" spans="1:13" ht="13.2" x14ac:dyDescent="0.25">
      <c r="A786" s="1"/>
      <c r="B786" s="1"/>
      <c r="C786" s="1"/>
      <c r="D786" s="1"/>
      <c r="E786" s="1"/>
      <c r="F786" s="1"/>
      <c r="G786" s="1"/>
      <c r="H786" s="1"/>
      <c r="I786" s="1"/>
      <c r="J786" s="1"/>
      <c r="K786" s="1"/>
      <c r="L786" s="1"/>
      <c r="M786" s="1"/>
    </row>
    <row r="787" spans="1:13" ht="13.2" x14ac:dyDescent="0.25">
      <c r="A787" s="1"/>
      <c r="B787" s="1"/>
      <c r="C787" s="1"/>
      <c r="D787" s="1"/>
      <c r="E787" s="1"/>
      <c r="F787" s="1"/>
      <c r="G787" s="1"/>
      <c r="H787" s="1"/>
      <c r="I787" s="1"/>
      <c r="J787" s="1"/>
      <c r="K787" s="1"/>
      <c r="L787" s="1"/>
      <c r="M787" s="1"/>
    </row>
    <row r="788" spans="1:13" ht="13.2" x14ac:dyDescent="0.25">
      <c r="A788" s="1"/>
      <c r="B788" s="1"/>
      <c r="C788" s="1"/>
      <c r="D788" s="1"/>
      <c r="E788" s="1"/>
      <c r="F788" s="1"/>
      <c r="G788" s="1"/>
      <c r="H788" s="1"/>
      <c r="I788" s="1"/>
      <c r="J788" s="1"/>
      <c r="K788" s="1"/>
      <c r="L788" s="1"/>
      <c r="M788" s="1"/>
    </row>
    <row r="789" spans="1:13" ht="13.2" x14ac:dyDescent="0.25">
      <c r="A789" s="1"/>
      <c r="B789" s="1"/>
      <c r="C789" s="1"/>
      <c r="D789" s="1"/>
      <c r="E789" s="1"/>
      <c r="F789" s="1"/>
      <c r="G789" s="1"/>
      <c r="H789" s="1"/>
      <c r="I789" s="1"/>
      <c r="J789" s="1"/>
      <c r="K789" s="1"/>
      <c r="L789" s="1"/>
      <c r="M789" s="1"/>
    </row>
    <row r="790" spans="1:13" ht="13.2" x14ac:dyDescent="0.25">
      <c r="A790" s="1"/>
      <c r="B790" s="1"/>
      <c r="C790" s="1"/>
      <c r="D790" s="1"/>
      <c r="E790" s="1"/>
      <c r="F790" s="1"/>
      <c r="G790" s="1"/>
      <c r="H790" s="1"/>
      <c r="I790" s="1"/>
      <c r="J790" s="1"/>
      <c r="K790" s="1"/>
      <c r="L790" s="1"/>
      <c r="M790" s="1"/>
    </row>
    <row r="791" spans="1:13" ht="13.2" x14ac:dyDescent="0.25">
      <c r="A791" s="1"/>
      <c r="B791" s="1"/>
      <c r="C791" s="1"/>
      <c r="D791" s="1"/>
      <c r="E791" s="1"/>
      <c r="F791" s="1"/>
      <c r="G791" s="1"/>
      <c r="H791" s="1"/>
      <c r="I791" s="1"/>
      <c r="J791" s="1"/>
      <c r="K791" s="1"/>
      <c r="L791" s="1"/>
      <c r="M791" s="1"/>
    </row>
    <row r="792" spans="1:13" ht="13.2" x14ac:dyDescent="0.25">
      <c r="A792" s="1"/>
      <c r="B792" s="1"/>
      <c r="C792" s="1"/>
      <c r="D792" s="1"/>
      <c r="E792" s="1"/>
      <c r="F792" s="1"/>
      <c r="G792" s="1"/>
      <c r="H792" s="1"/>
      <c r="I792" s="1"/>
      <c r="J792" s="1"/>
      <c r="K792" s="1"/>
      <c r="L792" s="1"/>
      <c r="M792" s="1"/>
    </row>
    <row r="793" spans="1:13" ht="13.2" x14ac:dyDescent="0.25">
      <c r="A793" s="1"/>
      <c r="B793" s="1"/>
      <c r="C793" s="1"/>
      <c r="D793" s="1"/>
      <c r="E793" s="1"/>
      <c r="F793" s="1"/>
      <c r="G793" s="1"/>
      <c r="H793" s="1"/>
      <c r="I793" s="1"/>
      <c r="J793" s="1"/>
      <c r="K793" s="1"/>
      <c r="L793" s="1"/>
      <c r="M793" s="1"/>
    </row>
    <row r="794" spans="1:13" ht="13.2" x14ac:dyDescent="0.25">
      <c r="A794" s="1"/>
      <c r="B794" s="1"/>
      <c r="C794" s="1"/>
      <c r="D794" s="1"/>
      <c r="E794" s="1"/>
      <c r="F794" s="1"/>
      <c r="G794" s="1"/>
      <c r="H794" s="1"/>
      <c r="I794" s="1"/>
      <c r="J794" s="1"/>
      <c r="K794" s="1"/>
      <c r="L794" s="1"/>
      <c r="M794" s="1"/>
    </row>
    <row r="795" spans="1:13" ht="13.2" x14ac:dyDescent="0.25">
      <c r="A795" s="1"/>
      <c r="B795" s="1"/>
      <c r="C795" s="1"/>
      <c r="D795" s="1"/>
      <c r="E795" s="1"/>
      <c r="F795" s="1"/>
      <c r="G795" s="1"/>
      <c r="H795" s="1"/>
      <c r="I795" s="1"/>
      <c r="J795" s="1"/>
      <c r="K795" s="1"/>
      <c r="L795" s="1"/>
      <c r="M795" s="1"/>
    </row>
    <row r="796" spans="1:13" ht="13.2" x14ac:dyDescent="0.25">
      <c r="A796" s="1"/>
      <c r="B796" s="1"/>
      <c r="C796" s="1"/>
      <c r="D796" s="1"/>
      <c r="E796" s="1"/>
      <c r="F796" s="1"/>
      <c r="G796" s="1"/>
      <c r="H796" s="1"/>
      <c r="I796" s="1"/>
      <c r="J796" s="1"/>
      <c r="K796" s="1"/>
      <c r="L796" s="1"/>
      <c r="M796" s="1"/>
    </row>
    <row r="797" spans="1:13" ht="13.2" x14ac:dyDescent="0.25">
      <c r="A797" s="1"/>
      <c r="B797" s="1"/>
      <c r="C797" s="1"/>
      <c r="D797" s="1"/>
      <c r="E797" s="1"/>
      <c r="F797" s="1"/>
      <c r="G797" s="1"/>
      <c r="H797" s="1"/>
      <c r="I797" s="1"/>
      <c r="J797" s="1"/>
      <c r="K797" s="1"/>
      <c r="L797" s="1"/>
      <c r="M797" s="1"/>
    </row>
    <row r="798" spans="1:13" ht="13.2" x14ac:dyDescent="0.25">
      <c r="A798" s="1"/>
      <c r="B798" s="1"/>
      <c r="C798" s="1"/>
      <c r="D798" s="1"/>
      <c r="E798" s="1"/>
      <c r="F798" s="1"/>
      <c r="G798" s="1"/>
      <c r="H798" s="1"/>
      <c r="I798" s="1"/>
      <c r="J798" s="1"/>
      <c r="K798" s="1"/>
      <c r="L798" s="1"/>
      <c r="M798" s="1"/>
    </row>
    <row r="799" spans="1:13" ht="13.2" x14ac:dyDescent="0.25">
      <c r="A799" s="1"/>
      <c r="B799" s="1"/>
      <c r="C799" s="1"/>
      <c r="D799" s="1"/>
      <c r="E799" s="1"/>
      <c r="F799" s="1"/>
      <c r="G799" s="1"/>
      <c r="H799" s="1"/>
      <c r="I799" s="1"/>
      <c r="J799" s="1"/>
      <c r="K799" s="1"/>
      <c r="L799" s="1"/>
      <c r="M799" s="1"/>
    </row>
    <row r="800" spans="1:13" ht="13.2" x14ac:dyDescent="0.25">
      <c r="A800" s="1"/>
      <c r="B800" s="1"/>
      <c r="C800" s="1"/>
      <c r="D800" s="1"/>
      <c r="E800" s="1"/>
      <c r="F800" s="1"/>
      <c r="G800" s="1"/>
      <c r="H800" s="1"/>
      <c r="I800" s="1"/>
      <c r="J800" s="1"/>
      <c r="K800" s="1"/>
      <c r="L800" s="1"/>
      <c r="M800" s="1"/>
    </row>
    <row r="801" spans="1:13" ht="13.2" x14ac:dyDescent="0.25">
      <c r="A801" s="1"/>
      <c r="B801" s="1"/>
      <c r="C801" s="1"/>
      <c r="D801" s="1"/>
      <c r="E801" s="1"/>
      <c r="F801" s="1"/>
      <c r="G801" s="1"/>
      <c r="H801" s="1"/>
      <c r="I801" s="1"/>
      <c r="J801" s="1"/>
      <c r="K801" s="1"/>
      <c r="L801" s="1"/>
      <c r="M801" s="1"/>
    </row>
    <row r="802" spans="1:13" ht="13.2" x14ac:dyDescent="0.25">
      <c r="A802" s="1"/>
      <c r="B802" s="1"/>
      <c r="C802" s="1"/>
      <c r="D802" s="1"/>
      <c r="E802" s="1"/>
      <c r="F802" s="1"/>
      <c r="G802" s="1"/>
      <c r="H802" s="1"/>
      <c r="I802" s="1"/>
      <c r="J802" s="1"/>
      <c r="K802" s="1"/>
      <c r="L802" s="1"/>
      <c r="M802" s="1"/>
    </row>
    <row r="803" spans="1:13" ht="13.2" x14ac:dyDescent="0.25">
      <c r="A803" s="1"/>
      <c r="B803" s="1"/>
      <c r="C803" s="1"/>
      <c r="D803" s="1"/>
      <c r="E803" s="1"/>
      <c r="F803" s="1"/>
      <c r="G803" s="1"/>
      <c r="H803" s="1"/>
      <c r="I803" s="1"/>
      <c r="J803" s="1"/>
      <c r="K803" s="1"/>
      <c r="L803" s="1"/>
      <c r="M803" s="1"/>
    </row>
    <row r="804" spans="1:13" ht="13.2" x14ac:dyDescent="0.25">
      <c r="A804" s="1"/>
      <c r="B804" s="1"/>
      <c r="C804" s="1"/>
      <c r="D804" s="1"/>
      <c r="E804" s="1"/>
      <c r="F804" s="1"/>
      <c r="G804" s="1"/>
      <c r="H804" s="1"/>
      <c r="I804" s="1"/>
      <c r="J804" s="1"/>
      <c r="K804" s="1"/>
      <c r="L804" s="1"/>
      <c r="M804" s="1"/>
    </row>
    <row r="805" spans="1:13" ht="13.2" x14ac:dyDescent="0.25">
      <c r="A805" s="1"/>
      <c r="B805" s="1"/>
      <c r="C805" s="1"/>
      <c r="D805" s="1"/>
      <c r="E805" s="1"/>
      <c r="F805" s="1"/>
      <c r="G805" s="1"/>
      <c r="H805" s="1"/>
      <c r="I805" s="1"/>
      <c r="J805" s="1"/>
      <c r="K805" s="1"/>
      <c r="L805" s="1"/>
      <c r="M805" s="1"/>
    </row>
    <row r="806" spans="1:13" ht="13.2" x14ac:dyDescent="0.25">
      <c r="A806" s="1"/>
      <c r="B806" s="1"/>
      <c r="C806" s="1"/>
      <c r="D806" s="1"/>
      <c r="E806" s="1"/>
      <c r="F806" s="1"/>
      <c r="G806" s="1"/>
      <c r="H806" s="1"/>
      <c r="I806" s="1"/>
      <c r="J806" s="1"/>
      <c r="K806" s="1"/>
      <c r="L806" s="1"/>
      <c r="M806" s="1"/>
    </row>
    <row r="807" spans="1:13" ht="13.2" x14ac:dyDescent="0.25">
      <c r="A807" s="1"/>
      <c r="B807" s="1"/>
      <c r="C807" s="1"/>
      <c r="D807" s="1"/>
      <c r="E807" s="1"/>
      <c r="F807" s="1"/>
      <c r="G807" s="1"/>
      <c r="H807" s="1"/>
      <c r="I807" s="1"/>
      <c r="J807" s="1"/>
      <c r="K807" s="1"/>
      <c r="L807" s="1"/>
      <c r="M807" s="1"/>
    </row>
    <row r="808" spans="1:13" ht="13.2" x14ac:dyDescent="0.25">
      <c r="A808" s="1"/>
      <c r="B808" s="1"/>
      <c r="C808" s="1"/>
      <c r="D808" s="1"/>
      <c r="E808" s="1"/>
      <c r="F808" s="1"/>
      <c r="G808" s="1"/>
      <c r="H808" s="1"/>
      <c r="I808" s="1"/>
      <c r="J808" s="1"/>
      <c r="K808" s="1"/>
      <c r="L808" s="1"/>
      <c r="M808" s="1"/>
    </row>
    <row r="809" spans="1:13" ht="13.2" x14ac:dyDescent="0.25">
      <c r="A809" s="1"/>
      <c r="B809" s="1"/>
      <c r="C809" s="1"/>
      <c r="D809" s="1"/>
      <c r="E809" s="1"/>
      <c r="F809" s="1"/>
      <c r="G809" s="1"/>
      <c r="H809" s="1"/>
      <c r="I809" s="1"/>
      <c r="J809" s="1"/>
      <c r="K809" s="1"/>
      <c r="L809" s="1"/>
      <c r="M809" s="1"/>
    </row>
    <row r="810" spans="1:13" ht="13.2" x14ac:dyDescent="0.25">
      <c r="A810" s="1"/>
      <c r="B810" s="1"/>
      <c r="C810" s="1"/>
      <c r="D810" s="1"/>
      <c r="E810" s="1"/>
      <c r="F810" s="1"/>
      <c r="G810" s="1"/>
      <c r="H810" s="1"/>
      <c r="I810" s="1"/>
      <c r="J810" s="1"/>
      <c r="K810" s="1"/>
      <c r="L810" s="1"/>
      <c r="M810" s="1"/>
    </row>
    <row r="811" spans="1:13" ht="13.2" x14ac:dyDescent="0.25">
      <c r="A811" s="1"/>
      <c r="B811" s="1"/>
      <c r="C811" s="1"/>
      <c r="D811" s="1"/>
      <c r="E811" s="1"/>
      <c r="F811" s="1"/>
      <c r="G811" s="1"/>
      <c r="H811" s="1"/>
      <c r="I811" s="1"/>
      <c r="J811" s="1"/>
      <c r="K811" s="1"/>
      <c r="L811" s="1"/>
      <c r="M811" s="1"/>
    </row>
    <row r="812" spans="1:13" ht="13.2" x14ac:dyDescent="0.25">
      <c r="A812" s="1"/>
      <c r="B812" s="1"/>
      <c r="C812" s="1"/>
      <c r="D812" s="1"/>
      <c r="E812" s="1"/>
      <c r="F812" s="1"/>
      <c r="G812" s="1"/>
      <c r="H812" s="1"/>
      <c r="I812" s="1"/>
      <c r="J812" s="1"/>
      <c r="K812" s="1"/>
      <c r="L812" s="1"/>
      <c r="M812" s="1"/>
    </row>
    <row r="813" spans="1:13" ht="13.2" x14ac:dyDescent="0.25">
      <c r="A813" s="1"/>
      <c r="B813" s="1"/>
      <c r="C813" s="1"/>
      <c r="D813" s="1"/>
      <c r="E813" s="1"/>
      <c r="F813" s="1"/>
      <c r="G813" s="1"/>
      <c r="H813" s="1"/>
      <c r="I813" s="1"/>
      <c r="J813" s="1"/>
      <c r="K813" s="1"/>
      <c r="L813" s="1"/>
      <c r="M813" s="1"/>
    </row>
    <row r="814" spans="1:13" ht="13.2" x14ac:dyDescent="0.25">
      <c r="A814" s="1"/>
      <c r="B814" s="1"/>
      <c r="C814" s="1"/>
      <c r="D814" s="1"/>
      <c r="E814" s="1"/>
      <c r="F814" s="1"/>
      <c r="G814" s="1"/>
      <c r="H814" s="1"/>
      <c r="I814" s="1"/>
      <c r="J814" s="1"/>
      <c r="K814" s="1"/>
      <c r="L814" s="1"/>
      <c r="M814" s="1"/>
    </row>
    <row r="815" spans="1:13" ht="13.2" x14ac:dyDescent="0.25">
      <c r="A815" s="1"/>
      <c r="B815" s="1"/>
      <c r="C815" s="1"/>
      <c r="D815" s="1"/>
      <c r="E815" s="1"/>
      <c r="F815" s="1"/>
      <c r="G815" s="1"/>
      <c r="H815" s="1"/>
      <c r="I815" s="1"/>
      <c r="J815" s="1"/>
      <c r="K815" s="1"/>
      <c r="L815" s="1"/>
      <c r="M815" s="1"/>
    </row>
    <row r="816" spans="1:13" ht="13.2" x14ac:dyDescent="0.25">
      <c r="A816" s="1"/>
      <c r="B816" s="1"/>
      <c r="C816" s="1"/>
      <c r="D816" s="1"/>
      <c r="E816" s="1"/>
      <c r="F816" s="1"/>
      <c r="G816" s="1"/>
      <c r="H816" s="1"/>
      <c r="I816" s="1"/>
      <c r="J816" s="1"/>
      <c r="K816" s="1"/>
      <c r="L816" s="1"/>
      <c r="M816" s="1"/>
    </row>
    <row r="817" spans="1:13" ht="13.2" x14ac:dyDescent="0.25">
      <c r="A817" s="1"/>
      <c r="B817" s="1"/>
      <c r="C817" s="1"/>
      <c r="D817" s="1"/>
      <c r="E817" s="1"/>
      <c r="F817" s="1"/>
      <c r="G817" s="1"/>
      <c r="H817" s="1"/>
      <c r="I817" s="1"/>
      <c r="J817" s="1"/>
      <c r="K817" s="1"/>
      <c r="L817" s="1"/>
      <c r="M817" s="1"/>
    </row>
    <row r="818" spans="1:13" ht="13.2" x14ac:dyDescent="0.25">
      <c r="A818" s="1"/>
      <c r="B818" s="1"/>
      <c r="C818" s="1"/>
      <c r="D818" s="1"/>
      <c r="E818" s="1"/>
      <c r="F818" s="1"/>
      <c r="G818" s="1"/>
      <c r="H818" s="1"/>
      <c r="I818" s="1"/>
      <c r="J818" s="1"/>
      <c r="K818" s="1"/>
      <c r="L818" s="1"/>
      <c r="M818" s="1"/>
    </row>
    <row r="819" spans="1:13" ht="13.2" x14ac:dyDescent="0.25">
      <c r="A819" s="1"/>
      <c r="B819" s="1"/>
      <c r="C819" s="1"/>
      <c r="D819" s="1"/>
      <c r="E819" s="1"/>
      <c r="F819" s="1"/>
      <c r="G819" s="1"/>
      <c r="H819" s="1"/>
      <c r="I819" s="1"/>
      <c r="J819" s="1"/>
      <c r="K819" s="1"/>
      <c r="L819" s="1"/>
      <c r="M819" s="1"/>
    </row>
    <row r="820" spans="1:13" ht="13.2" x14ac:dyDescent="0.25">
      <c r="A820" s="1"/>
      <c r="B820" s="1"/>
      <c r="C820" s="1"/>
      <c r="D820" s="1"/>
      <c r="E820" s="1"/>
      <c r="F820" s="1"/>
      <c r="G820" s="1"/>
      <c r="H820" s="1"/>
      <c r="I820" s="1"/>
      <c r="J820" s="1"/>
      <c r="K820" s="1"/>
      <c r="L820" s="1"/>
      <c r="M820" s="1"/>
    </row>
    <row r="821" spans="1:13" ht="13.2" x14ac:dyDescent="0.25">
      <c r="A821" s="1"/>
      <c r="B821" s="1"/>
      <c r="C821" s="1"/>
      <c r="D821" s="1"/>
      <c r="E821" s="1"/>
      <c r="F821" s="1"/>
      <c r="G821" s="1"/>
      <c r="H821" s="1"/>
      <c r="I821" s="1"/>
      <c r="J821" s="1"/>
      <c r="K821" s="1"/>
      <c r="L821" s="1"/>
      <c r="M821" s="1"/>
    </row>
    <row r="822" spans="1:13" ht="13.2" x14ac:dyDescent="0.25">
      <c r="A822" s="1"/>
      <c r="B822" s="1"/>
      <c r="C822" s="1"/>
      <c r="D822" s="1"/>
      <c r="E822" s="1"/>
      <c r="F822" s="1"/>
      <c r="G822" s="1"/>
      <c r="H822" s="1"/>
      <c r="I822" s="1"/>
      <c r="J822" s="1"/>
      <c r="K822" s="1"/>
      <c r="L822" s="1"/>
      <c r="M822" s="1"/>
    </row>
    <row r="823" spans="1:13" ht="13.2" x14ac:dyDescent="0.25">
      <c r="A823" s="1"/>
      <c r="B823" s="1"/>
      <c r="C823" s="1"/>
      <c r="D823" s="1"/>
      <c r="E823" s="1"/>
      <c r="F823" s="1"/>
      <c r="G823" s="1"/>
      <c r="H823" s="1"/>
      <c r="I823" s="1"/>
      <c r="J823" s="1"/>
      <c r="K823" s="1"/>
      <c r="L823" s="1"/>
      <c r="M823" s="1"/>
    </row>
    <row r="824" spans="1:13" ht="13.2" x14ac:dyDescent="0.25">
      <c r="A824" s="1"/>
      <c r="B824" s="1"/>
      <c r="C824" s="1"/>
      <c r="D824" s="1"/>
      <c r="E824" s="1"/>
      <c r="F824" s="1"/>
      <c r="G824" s="1"/>
      <c r="H824" s="1"/>
      <c r="I824" s="1"/>
      <c r="J824" s="1"/>
      <c r="K824" s="1"/>
      <c r="L824" s="1"/>
      <c r="M824" s="1"/>
    </row>
    <row r="825" spans="1:13" ht="13.2" x14ac:dyDescent="0.25">
      <c r="A825" s="1"/>
      <c r="B825" s="1"/>
      <c r="C825" s="1"/>
      <c r="D825" s="1"/>
      <c r="E825" s="1"/>
      <c r="F825" s="1"/>
      <c r="G825" s="1"/>
      <c r="H825" s="1"/>
      <c r="I825" s="1"/>
      <c r="J825" s="1"/>
      <c r="K825" s="1"/>
      <c r="L825" s="1"/>
      <c r="M825" s="1"/>
    </row>
    <row r="826" spans="1:13" ht="13.2" x14ac:dyDescent="0.25">
      <c r="A826" s="1"/>
      <c r="B826" s="1"/>
      <c r="C826" s="1"/>
      <c r="D826" s="1"/>
      <c r="E826" s="1"/>
      <c r="F826" s="1"/>
      <c r="G826" s="1"/>
      <c r="H826" s="1"/>
      <c r="I826" s="1"/>
      <c r="J826" s="1"/>
      <c r="K826" s="1"/>
      <c r="L826" s="1"/>
      <c r="M826" s="1"/>
    </row>
    <row r="827" spans="1:13" ht="13.2" x14ac:dyDescent="0.25">
      <c r="A827" s="1"/>
      <c r="B827" s="1"/>
      <c r="C827" s="1"/>
      <c r="D827" s="1"/>
      <c r="E827" s="1"/>
      <c r="F827" s="1"/>
      <c r="G827" s="1"/>
      <c r="H827" s="1"/>
      <c r="I827" s="1"/>
      <c r="J827" s="1"/>
      <c r="K827" s="1"/>
      <c r="L827" s="1"/>
      <c r="M827" s="1"/>
    </row>
    <row r="828" spans="1:13" ht="13.2" x14ac:dyDescent="0.25">
      <c r="A828" s="1"/>
      <c r="B828" s="1"/>
      <c r="C828" s="1"/>
      <c r="D828" s="1"/>
      <c r="E828" s="1"/>
      <c r="F828" s="1"/>
      <c r="G828" s="1"/>
      <c r="H828" s="1"/>
      <c r="I828" s="1"/>
      <c r="J828" s="1"/>
      <c r="K828" s="1"/>
      <c r="L828" s="1"/>
      <c r="M828" s="1"/>
    </row>
    <row r="829" spans="1:13" ht="13.2" x14ac:dyDescent="0.25">
      <c r="A829" s="1"/>
      <c r="B829" s="1"/>
      <c r="C829" s="1"/>
      <c r="D829" s="1"/>
      <c r="E829" s="1"/>
      <c r="F829" s="1"/>
      <c r="G829" s="1"/>
      <c r="H829" s="1"/>
      <c r="I829" s="1"/>
      <c r="J829" s="1"/>
      <c r="K829" s="1"/>
      <c r="L829" s="1"/>
      <c r="M829" s="1"/>
    </row>
    <row r="830" spans="1:13" ht="13.2" x14ac:dyDescent="0.25">
      <c r="A830" s="1"/>
      <c r="B830" s="1"/>
      <c r="C830" s="1"/>
      <c r="D830" s="1"/>
      <c r="E830" s="1"/>
      <c r="F830" s="1"/>
      <c r="G830" s="1"/>
      <c r="H830" s="1"/>
      <c r="I830" s="1"/>
      <c r="J830" s="1"/>
      <c r="K830" s="1"/>
      <c r="L830" s="1"/>
      <c r="M830" s="1"/>
    </row>
    <row r="831" spans="1:13" ht="13.2" x14ac:dyDescent="0.25">
      <c r="A831" s="1"/>
      <c r="B831" s="1"/>
      <c r="C831" s="1"/>
      <c r="D831" s="1"/>
      <c r="E831" s="1"/>
      <c r="F831" s="1"/>
      <c r="G831" s="1"/>
      <c r="H831" s="1"/>
      <c r="I831" s="1"/>
      <c r="J831" s="1"/>
      <c r="K831" s="1"/>
      <c r="L831" s="1"/>
      <c r="M831" s="1"/>
    </row>
    <row r="832" spans="1:13" ht="13.2" x14ac:dyDescent="0.25">
      <c r="A832" s="1"/>
      <c r="B832" s="1"/>
      <c r="C832" s="1"/>
      <c r="D832" s="1"/>
      <c r="E832" s="1"/>
      <c r="F832" s="1"/>
      <c r="G832" s="1"/>
      <c r="H832" s="1"/>
      <c r="I832" s="1"/>
      <c r="J832" s="1"/>
      <c r="K832" s="1"/>
      <c r="L832" s="1"/>
      <c r="M832" s="1"/>
    </row>
    <row r="833" spans="1:13" ht="13.2" x14ac:dyDescent="0.25">
      <c r="A833" s="1"/>
      <c r="B833" s="1"/>
      <c r="C833" s="1"/>
      <c r="D833" s="1"/>
      <c r="E833" s="1"/>
      <c r="F833" s="1"/>
      <c r="G833" s="1"/>
      <c r="H833" s="1"/>
      <c r="I833" s="1"/>
      <c r="J833" s="1"/>
      <c r="K833" s="1"/>
      <c r="L833" s="1"/>
      <c r="M833" s="1"/>
    </row>
    <row r="834" spans="1:13" ht="13.2" x14ac:dyDescent="0.25">
      <c r="A834" s="1"/>
      <c r="B834" s="1"/>
      <c r="C834" s="1"/>
      <c r="D834" s="1"/>
      <c r="E834" s="1"/>
      <c r="F834" s="1"/>
      <c r="G834" s="1"/>
      <c r="H834" s="1"/>
      <c r="I834" s="1"/>
      <c r="J834" s="1"/>
      <c r="K834" s="1"/>
      <c r="L834" s="1"/>
      <c r="M834" s="1"/>
    </row>
    <row r="835" spans="1:13" ht="13.2" x14ac:dyDescent="0.25">
      <c r="A835" s="1"/>
      <c r="B835" s="1"/>
      <c r="C835" s="1"/>
      <c r="D835" s="1"/>
      <c r="E835" s="1"/>
      <c r="F835" s="1"/>
      <c r="G835" s="1"/>
      <c r="H835" s="1"/>
      <c r="I835" s="1"/>
      <c r="J835" s="1"/>
      <c r="K835" s="1"/>
      <c r="L835" s="1"/>
      <c r="M835" s="1"/>
    </row>
    <row r="836" spans="1:13" ht="13.2" x14ac:dyDescent="0.25">
      <c r="A836" s="1"/>
      <c r="B836" s="1"/>
      <c r="C836" s="1"/>
      <c r="D836" s="1"/>
      <c r="E836" s="1"/>
      <c r="F836" s="1"/>
      <c r="G836" s="1"/>
      <c r="H836" s="1"/>
      <c r="I836" s="1"/>
      <c r="J836" s="1"/>
      <c r="K836" s="1"/>
      <c r="L836" s="1"/>
      <c r="M836" s="1"/>
    </row>
    <row r="837" spans="1:13" ht="13.2" x14ac:dyDescent="0.25">
      <c r="A837" s="1"/>
      <c r="B837" s="1"/>
      <c r="C837" s="1"/>
      <c r="D837" s="1"/>
      <c r="E837" s="1"/>
      <c r="F837" s="1"/>
      <c r="G837" s="1"/>
      <c r="H837" s="1"/>
      <c r="I837" s="1"/>
      <c r="J837" s="1"/>
      <c r="K837" s="1"/>
      <c r="L837" s="1"/>
      <c r="M837" s="1"/>
    </row>
    <row r="838" spans="1:13" ht="13.2" x14ac:dyDescent="0.25">
      <c r="A838" s="1"/>
      <c r="B838" s="1"/>
      <c r="C838" s="1"/>
      <c r="D838" s="1"/>
      <c r="E838" s="1"/>
      <c r="F838" s="1"/>
      <c r="G838" s="1"/>
      <c r="H838" s="1"/>
      <c r="I838" s="1"/>
      <c r="J838" s="1"/>
      <c r="K838" s="1"/>
      <c r="L838" s="1"/>
      <c r="M838" s="1"/>
    </row>
    <row r="839" spans="1:13" ht="13.2" x14ac:dyDescent="0.25">
      <c r="A839" s="1"/>
      <c r="B839" s="1"/>
      <c r="C839" s="1"/>
      <c r="D839" s="1"/>
      <c r="E839" s="1"/>
      <c r="F839" s="1"/>
      <c r="G839" s="1"/>
      <c r="H839" s="1"/>
      <c r="I839" s="1"/>
      <c r="J839" s="1"/>
      <c r="K839" s="1"/>
      <c r="L839" s="1"/>
      <c r="M839" s="1"/>
    </row>
    <row r="840" spans="1:13" ht="13.2" x14ac:dyDescent="0.25">
      <c r="A840" s="1"/>
      <c r="B840" s="1"/>
      <c r="C840" s="1"/>
      <c r="D840" s="1"/>
      <c r="E840" s="1"/>
      <c r="F840" s="1"/>
      <c r="G840" s="1"/>
      <c r="H840" s="1"/>
      <c r="I840" s="1"/>
      <c r="J840" s="1"/>
      <c r="K840" s="1"/>
      <c r="L840" s="1"/>
      <c r="M840" s="1"/>
    </row>
    <row r="841" spans="1:13" ht="13.2" x14ac:dyDescent="0.25">
      <c r="A841" s="1"/>
      <c r="B841" s="1"/>
      <c r="C841" s="1"/>
      <c r="D841" s="1"/>
      <c r="E841" s="1"/>
      <c r="F841" s="1"/>
      <c r="G841" s="1"/>
      <c r="H841" s="1"/>
      <c r="I841" s="1"/>
      <c r="J841" s="1"/>
      <c r="K841" s="1"/>
      <c r="L841" s="1"/>
      <c r="M841" s="1"/>
    </row>
    <row r="842" spans="1:13" ht="13.2" x14ac:dyDescent="0.25">
      <c r="A842" s="1"/>
      <c r="B842" s="1"/>
      <c r="C842" s="1"/>
      <c r="D842" s="1"/>
      <c r="E842" s="1"/>
      <c r="F842" s="1"/>
      <c r="G842" s="1"/>
      <c r="H842" s="1"/>
      <c r="I842" s="1"/>
      <c r="J842" s="1"/>
      <c r="K842" s="1"/>
      <c r="L842" s="1"/>
      <c r="M842" s="1"/>
    </row>
    <row r="843" spans="1:13" ht="13.2" x14ac:dyDescent="0.25">
      <c r="A843" s="1"/>
      <c r="B843" s="1"/>
      <c r="C843" s="1"/>
      <c r="D843" s="1"/>
      <c r="E843" s="1"/>
      <c r="F843" s="1"/>
      <c r="G843" s="1"/>
      <c r="H843" s="1"/>
      <c r="I843" s="1"/>
      <c r="J843" s="1"/>
      <c r="K843" s="1"/>
      <c r="L843" s="1"/>
      <c r="M843" s="1"/>
    </row>
    <row r="844" spans="1:13" ht="13.2" x14ac:dyDescent="0.25">
      <c r="A844" s="1"/>
      <c r="B844" s="1"/>
      <c r="C844" s="1"/>
      <c r="D844" s="1"/>
      <c r="E844" s="1"/>
      <c r="F844" s="1"/>
      <c r="G844" s="1"/>
      <c r="H844" s="1"/>
      <c r="I844" s="1"/>
      <c r="J844" s="1"/>
      <c r="K844" s="1"/>
      <c r="L844" s="1"/>
      <c r="M844" s="1"/>
    </row>
    <row r="845" spans="1:13" ht="13.2" x14ac:dyDescent="0.25">
      <c r="A845" s="1"/>
      <c r="B845" s="1"/>
      <c r="C845" s="1"/>
      <c r="D845" s="1"/>
      <c r="E845" s="1"/>
      <c r="F845" s="1"/>
      <c r="G845" s="1"/>
      <c r="H845" s="1"/>
      <c r="I845" s="1"/>
      <c r="J845" s="1"/>
      <c r="K845" s="1"/>
      <c r="L845" s="1"/>
      <c r="M845" s="1"/>
    </row>
    <row r="846" spans="1:13" ht="13.2" x14ac:dyDescent="0.25">
      <c r="A846" s="1"/>
      <c r="B846" s="1"/>
      <c r="C846" s="1"/>
      <c r="D846" s="1"/>
      <c r="E846" s="1"/>
      <c r="F846" s="1"/>
      <c r="G846" s="1"/>
      <c r="H846" s="1"/>
      <c r="I846" s="1"/>
      <c r="J846" s="1"/>
      <c r="K846" s="1"/>
      <c r="L846" s="1"/>
      <c r="M846" s="1"/>
    </row>
    <row r="847" spans="1:13" ht="13.2" x14ac:dyDescent="0.25">
      <c r="A847" s="1"/>
      <c r="B847" s="1"/>
      <c r="C847" s="1"/>
      <c r="D847" s="1"/>
      <c r="E847" s="1"/>
      <c r="F847" s="1"/>
      <c r="G847" s="1"/>
      <c r="H847" s="1"/>
      <c r="I847" s="1"/>
      <c r="J847" s="1"/>
      <c r="K847" s="1"/>
      <c r="L847" s="1"/>
      <c r="M847" s="1"/>
    </row>
    <row r="848" spans="1:13" ht="13.2" x14ac:dyDescent="0.25">
      <c r="A848" s="1"/>
      <c r="B848" s="1"/>
      <c r="C848" s="1"/>
      <c r="D848" s="1"/>
      <c r="E848" s="1"/>
      <c r="F848" s="1"/>
      <c r="G848" s="1"/>
      <c r="H848" s="1"/>
      <c r="I848" s="1"/>
      <c r="J848" s="1"/>
      <c r="K848" s="1"/>
      <c r="L848" s="1"/>
      <c r="M848" s="1"/>
    </row>
    <row r="849" spans="1:13" ht="13.2" x14ac:dyDescent="0.25">
      <c r="A849" s="1"/>
      <c r="B849" s="1"/>
      <c r="C849" s="1"/>
      <c r="D849" s="1"/>
      <c r="E849" s="1"/>
      <c r="F849" s="1"/>
      <c r="G849" s="1"/>
      <c r="H849" s="1"/>
      <c r="I849" s="1"/>
      <c r="J849" s="1"/>
      <c r="K849" s="1"/>
      <c r="L849" s="1"/>
      <c r="M849" s="1"/>
    </row>
    <row r="850" spans="1:13" ht="13.2" x14ac:dyDescent="0.25">
      <c r="A850" s="1"/>
      <c r="B850" s="1"/>
      <c r="C850" s="1"/>
      <c r="D850" s="1"/>
      <c r="E850" s="1"/>
      <c r="F850" s="1"/>
      <c r="G850" s="1"/>
      <c r="H850" s="1"/>
      <c r="I850" s="1"/>
      <c r="J850" s="1"/>
      <c r="K850" s="1"/>
      <c r="L850" s="1"/>
      <c r="M850" s="1"/>
    </row>
    <row r="851" spans="1:13" ht="13.2" x14ac:dyDescent="0.25">
      <c r="A851" s="1"/>
      <c r="B851" s="1"/>
      <c r="C851" s="1"/>
      <c r="D851" s="1"/>
      <c r="E851" s="1"/>
      <c r="F851" s="1"/>
      <c r="G851" s="1"/>
      <c r="H851" s="1"/>
      <c r="I851" s="1"/>
      <c r="J851" s="1"/>
      <c r="K851" s="1"/>
      <c r="L851" s="1"/>
      <c r="M851" s="1"/>
    </row>
    <row r="852" spans="1:13" ht="13.2" x14ac:dyDescent="0.25">
      <c r="A852" s="1"/>
      <c r="B852" s="1"/>
      <c r="C852" s="1"/>
      <c r="D852" s="1"/>
      <c r="E852" s="1"/>
      <c r="F852" s="1"/>
      <c r="G852" s="1"/>
      <c r="H852" s="1"/>
      <c r="I852" s="1"/>
      <c r="J852" s="1"/>
      <c r="K852" s="1"/>
      <c r="L852" s="1"/>
      <c r="M852" s="1"/>
    </row>
    <row r="853" spans="1:13" ht="13.2" x14ac:dyDescent="0.25">
      <c r="A853" s="1"/>
      <c r="B853" s="1"/>
      <c r="C853" s="1"/>
      <c r="D853" s="1"/>
      <c r="E853" s="1"/>
      <c r="F853" s="1"/>
      <c r="G853" s="1"/>
      <c r="H853" s="1"/>
      <c r="I853" s="1"/>
      <c r="J853" s="1"/>
      <c r="K853" s="1"/>
      <c r="L853" s="1"/>
      <c r="M853" s="1"/>
    </row>
    <row r="854" spans="1:13" ht="13.2" x14ac:dyDescent="0.25">
      <c r="A854" s="1"/>
      <c r="B854" s="1"/>
      <c r="C854" s="1"/>
      <c r="D854" s="1"/>
      <c r="E854" s="1"/>
      <c r="F854" s="1"/>
      <c r="G854" s="1"/>
      <c r="H854" s="1"/>
      <c r="I854" s="1"/>
      <c r="J854" s="1"/>
      <c r="K854" s="1"/>
      <c r="L854" s="1"/>
      <c r="M854" s="1"/>
    </row>
    <row r="855" spans="1:13" ht="13.2" x14ac:dyDescent="0.25">
      <c r="A855" s="1"/>
      <c r="B855" s="1"/>
      <c r="C855" s="1"/>
      <c r="D855" s="1"/>
      <c r="E855" s="1"/>
      <c r="F855" s="1"/>
      <c r="G855" s="1"/>
      <c r="H855" s="1"/>
      <c r="I855" s="1"/>
      <c r="J855" s="1"/>
      <c r="K855" s="1"/>
      <c r="L855" s="1"/>
      <c r="M855" s="1"/>
    </row>
    <row r="856" spans="1:13" ht="13.2" x14ac:dyDescent="0.25">
      <c r="A856" s="1"/>
      <c r="B856" s="1"/>
      <c r="C856" s="1"/>
      <c r="D856" s="1"/>
      <c r="E856" s="1"/>
      <c r="F856" s="1"/>
      <c r="G856" s="1"/>
      <c r="H856" s="1"/>
      <c r="I856" s="1"/>
      <c r="J856" s="1"/>
      <c r="K856" s="1"/>
      <c r="L856" s="1"/>
      <c r="M856" s="1"/>
    </row>
    <row r="857" spans="1:13" ht="13.2" x14ac:dyDescent="0.25">
      <c r="A857" s="1"/>
      <c r="B857" s="1"/>
      <c r="C857" s="1"/>
      <c r="D857" s="1"/>
      <c r="E857" s="1"/>
      <c r="F857" s="1"/>
      <c r="G857" s="1"/>
      <c r="H857" s="1"/>
      <c r="I857" s="1"/>
      <c r="J857" s="1"/>
      <c r="K857" s="1"/>
      <c r="L857" s="1"/>
      <c r="M857" s="1"/>
    </row>
    <row r="858" spans="1:13" ht="13.2" x14ac:dyDescent="0.25">
      <c r="A858" s="1"/>
      <c r="B858" s="1"/>
      <c r="C858" s="1"/>
      <c r="D858" s="1"/>
      <c r="E858" s="1"/>
      <c r="F858" s="1"/>
      <c r="G858" s="1"/>
      <c r="H858" s="1"/>
      <c r="I858" s="1"/>
      <c r="J858" s="1"/>
      <c r="K858" s="1"/>
      <c r="L858" s="1"/>
      <c r="M858" s="1"/>
    </row>
    <row r="859" spans="1:13" ht="13.2" x14ac:dyDescent="0.25">
      <c r="A859" s="1"/>
      <c r="B859" s="1"/>
      <c r="C859" s="1"/>
      <c r="D859" s="1"/>
      <c r="E859" s="1"/>
      <c r="F859" s="1"/>
      <c r="G859" s="1"/>
      <c r="H859" s="1"/>
      <c r="I859" s="1"/>
      <c r="J859" s="1"/>
      <c r="K859" s="1"/>
      <c r="L859" s="1"/>
      <c r="M859" s="1"/>
    </row>
    <row r="860" spans="1:13" ht="13.2" x14ac:dyDescent="0.25">
      <c r="A860" s="1"/>
      <c r="B860" s="1"/>
      <c r="C860" s="1"/>
      <c r="D860" s="1"/>
      <c r="E860" s="1"/>
      <c r="F860" s="1"/>
      <c r="G860" s="1"/>
      <c r="H860" s="1"/>
      <c r="I860" s="1"/>
      <c r="J860" s="1"/>
      <c r="K860" s="1"/>
      <c r="L860" s="1"/>
      <c r="M860" s="1"/>
    </row>
    <row r="861" spans="1:13" ht="13.2" x14ac:dyDescent="0.25">
      <c r="A861" s="1"/>
      <c r="B861" s="1"/>
      <c r="C861" s="1"/>
      <c r="D861" s="1"/>
      <c r="E861" s="1"/>
      <c r="F861" s="1"/>
      <c r="G861" s="1"/>
      <c r="H861" s="1"/>
      <c r="I861" s="1"/>
      <c r="J861" s="1"/>
      <c r="K861" s="1"/>
      <c r="L861" s="1"/>
      <c r="M861" s="1"/>
    </row>
    <row r="862" spans="1:13" ht="13.2" x14ac:dyDescent="0.25">
      <c r="A862" s="1"/>
      <c r="B862" s="1"/>
      <c r="C862" s="1"/>
      <c r="D862" s="1"/>
      <c r="E862" s="1"/>
      <c r="F862" s="1"/>
      <c r="G862" s="1"/>
      <c r="H862" s="1"/>
      <c r="I862" s="1"/>
      <c r="J862" s="1"/>
      <c r="K862" s="1"/>
      <c r="L862" s="1"/>
      <c r="M862" s="1"/>
    </row>
    <row r="863" spans="1:13" ht="13.2" x14ac:dyDescent="0.25">
      <c r="A863" s="1"/>
      <c r="B863" s="1"/>
      <c r="C863" s="1"/>
      <c r="D863" s="1"/>
      <c r="E863" s="1"/>
      <c r="F863" s="1"/>
      <c r="G863" s="1"/>
      <c r="H863" s="1"/>
      <c r="I863" s="1"/>
      <c r="J863" s="1"/>
      <c r="K863" s="1"/>
      <c r="L863" s="1"/>
      <c r="M863" s="1"/>
    </row>
    <row r="864" spans="1:13" ht="13.2" x14ac:dyDescent="0.25">
      <c r="A864" s="1"/>
      <c r="B864" s="1"/>
      <c r="C864" s="1"/>
      <c r="D864" s="1"/>
      <c r="E864" s="1"/>
      <c r="F864" s="1"/>
      <c r="G864" s="1"/>
      <c r="H864" s="1"/>
      <c r="I864" s="1"/>
      <c r="J864" s="1"/>
      <c r="K864" s="1"/>
      <c r="L864" s="1"/>
      <c r="M864" s="1"/>
    </row>
    <row r="865" spans="1:13" ht="13.2" x14ac:dyDescent="0.25">
      <c r="A865" s="1"/>
      <c r="B865" s="1"/>
      <c r="C865" s="1"/>
      <c r="D865" s="1"/>
      <c r="E865" s="1"/>
      <c r="F865" s="1"/>
      <c r="G865" s="1"/>
      <c r="H865" s="1"/>
      <c r="I865" s="1"/>
      <c r="J865" s="1"/>
      <c r="K865" s="1"/>
      <c r="L865" s="1"/>
      <c r="M865" s="1"/>
    </row>
    <row r="866" spans="1:13" ht="13.2" x14ac:dyDescent="0.25">
      <c r="A866" s="1"/>
      <c r="B866" s="1"/>
      <c r="C866" s="1"/>
      <c r="D866" s="1"/>
      <c r="E866" s="1"/>
      <c r="F866" s="1"/>
      <c r="G866" s="1"/>
      <c r="H866" s="1"/>
      <c r="I866" s="1"/>
      <c r="J866" s="1"/>
      <c r="K866" s="1"/>
      <c r="L866" s="1"/>
      <c r="M866" s="1"/>
    </row>
    <row r="867" spans="1:13" ht="13.2" x14ac:dyDescent="0.25">
      <c r="A867" s="1"/>
      <c r="B867" s="1"/>
      <c r="C867" s="1"/>
      <c r="D867" s="1"/>
      <c r="E867" s="1"/>
      <c r="F867" s="1"/>
      <c r="G867" s="1"/>
      <c r="H867" s="1"/>
      <c r="I867" s="1"/>
      <c r="J867" s="1"/>
      <c r="K867" s="1"/>
      <c r="L867" s="1"/>
      <c r="M867" s="1"/>
    </row>
    <row r="868" spans="1:13" ht="13.2" x14ac:dyDescent="0.25">
      <c r="A868" s="1"/>
      <c r="B868" s="1"/>
      <c r="C868" s="1"/>
      <c r="D868" s="1"/>
      <c r="E868" s="1"/>
      <c r="F868" s="1"/>
      <c r="G868" s="1"/>
      <c r="H868" s="1"/>
      <c r="I868" s="1"/>
      <c r="J868" s="1"/>
      <c r="K868" s="1"/>
      <c r="L868" s="1"/>
      <c r="M868" s="1"/>
    </row>
    <row r="869" spans="1:13" ht="13.2" x14ac:dyDescent="0.25">
      <c r="A869" s="1"/>
      <c r="B869" s="1"/>
      <c r="C869" s="1"/>
      <c r="D869" s="1"/>
      <c r="E869" s="1"/>
      <c r="F869" s="1"/>
      <c r="G869" s="1"/>
      <c r="H869" s="1"/>
      <c r="I869" s="1"/>
      <c r="J869" s="1"/>
      <c r="K869" s="1"/>
      <c r="L869" s="1"/>
      <c r="M869" s="1"/>
    </row>
    <row r="870" spans="1:13" ht="13.2" x14ac:dyDescent="0.25">
      <c r="A870" s="1"/>
      <c r="B870" s="1"/>
      <c r="C870" s="1"/>
      <c r="D870" s="1"/>
      <c r="E870" s="1"/>
      <c r="F870" s="1"/>
      <c r="G870" s="1"/>
      <c r="H870" s="1"/>
      <c r="I870" s="1"/>
      <c r="J870" s="1"/>
      <c r="K870" s="1"/>
      <c r="L870" s="1"/>
      <c r="M870" s="1"/>
    </row>
    <row r="871" spans="1:13" ht="13.2" x14ac:dyDescent="0.25">
      <c r="A871" s="1"/>
      <c r="B871" s="1"/>
      <c r="C871" s="1"/>
      <c r="D871" s="1"/>
      <c r="E871" s="1"/>
      <c r="F871" s="1"/>
      <c r="G871" s="1"/>
      <c r="H871" s="1"/>
      <c r="I871" s="1"/>
      <c r="J871" s="1"/>
      <c r="K871" s="1"/>
      <c r="L871" s="1"/>
      <c r="M871" s="1"/>
    </row>
    <row r="872" spans="1:13" ht="13.2" x14ac:dyDescent="0.25">
      <c r="A872" s="1"/>
      <c r="B872" s="1"/>
      <c r="C872" s="1"/>
      <c r="D872" s="1"/>
      <c r="E872" s="1"/>
      <c r="F872" s="1"/>
      <c r="G872" s="1"/>
      <c r="H872" s="1"/>
      <c r="I872" s="1"/>
      <c r="J872" s="1"/>
      <c r="K872" s="1"/>
      <c r="L872" s="1"/>
      <c r="M872" s="1"/>
    </row>
    <row r="873" spans="1:13" ht="13.2" x14ac:dyDescent="0.25">
      <c r="A873" s="1"/>
      <c r="B873" s="1"/>
      <c r="C873" s="1"/>
      <c r="D873" s="1"/>
      <c r="E873" s="1"/>
      <c r="F873" s="1"/>
      <c r="G873" s="1"/>
      <c r="H873" s="1"/>
      <c r="I873" s="1"/>
      <c r="J873" s="1"/>
      <c r="K873" s="1"/>
      <c r="L873" s="1"/>
      <c r="M873" s="1"/>
    </row>
    <row r="874" spans="1:13" ht="13.2" x14ac:dyDescent="0.25">
      <c r="A874" s="1"/>
      <c r="B874" s="1"/>
      <c r="C874" s="1"/>
      <c r="D874" s="1"/>
      <c r="E874" s="1"/>
      <c r="F874" s="1"/>
      <c r="G874" s="1"/>
      <c r="H874" s="1"/>
      <c r="I874" s="1"/>
      <c r="J874" s="1"/>
      <c r="K874" s="1"/>
      <c r="L874" s="1"/>
      <c r="M874" s="1"/>
    </row>
    <row r="875" spans="1:13" ht="13.2" x14ac:dyDescent="0.25">
      <c r="A875" s="1"/>
      <c r="B875" s="1"/>
      <c r="C875" s="1"/>
      <c r="D875" s="1"/>
      <c r="E875" s="1"/>
      <c r="F875" s="1"/>
      <c r="G875" s="1"/>
      <c r="H875" s="1"/>
      <c r="I875" s="1"/>
      <c r="J875" s="1"/>
      <c r="K875" s="1"/>
      <c r="L875" s="1"/>
      <c r="M875" s="1"/>
    </row>
    <row r="876" spans="1:13" ht="13.2" x14ac:dyDescent="0.25">
      <c r="A876" s="1"/>
      <c r="B876" s="1"/>
      <c r="C876" s="1"/>
      <c r="D876" s="1"/>
      <c r="E876" s="1"/>
      <c r="F876" s="1"/>
      <c r="G876" s="1"/>
      <c r="H876" s="1"/>
      <c r="I876" s="1"/>
      <c r="J876" s="1"/>
      <c r="K876" s="1"/>
      <c r="L876" s="1"/>
      <c r="M876" s="1"/>
    </row>
    <row r="877" spans="1:13" ht="13.2" x14ac:dyDescent="0.25">
      <c r="A877" s="1"/>
      <c r="B877" s="1"/>
      <c r="C877" s="1"/>
      <c r="D877" s="1"/>
      <c r="E877" s="1"/>
      <c r="F877" s="1"/>
      <c r="G877" s="1"/>
      <c r="H877" s="1"/>
      <c r="I877" s="1"/>
      <c r="J877" s="1"/>
      <c r="K877" s="1"/>
      <c r="L877" s="1"/>
      <c r="M877" s="1"/>
    </row>
    <row r="878" spans="1:13" ht="13.2" x14ac:dyDescent="0.25">
      <c r="A878" s="1"/>
      <c r="B878" s="1"/>
      <c r="C878" s="1"/>
      <c r="D878" s="1"/>
      <c r="E878" s="1"/>
      <c r="F878" s="1"/>
      <c r="G878" s="1"/>
      <c r="H878" s="1"/>
      <c r="I878" s="1"/>
      <c r="J878" s="1"/>
      <c r="K878" s="1"/>
      <c r="L878" s="1"/>
      <c r="M878" s="1"/>
    </row>
    <row r="879" spans="1:13" ht="13.2" x14ac:dyDescent="0.25">
      <c r="A879" s="1"/>
      <c r="B879" s="1"/>
      <c r="C879" s="1"/>
      <c r="D879" s="1"/>
      <c r="E879" s="1"/>
      <c r="F879" s="1"/>
      <c r="G879" s="1"/>
      <c r="H879" s="1"/>
      <c r="I879" s="1"/>
      <c r="J879" s="1"/>
      <c r="K879" s="1"/>
      <c r="L879" s="1"/>
      <c r="M879" s="1"/>
    </row>
    <row r="880" spans="1:13" ht="13.2" x14ac:dyDescent="0.25">
      <c r="A880" s="1"/>
      <c r="B880" s="1"/>
      <c r="C880" s="1"/>
      <c r="D880" s="1"/>
      <c r="E880" s="1"/>
      <c r="F880" s="1"/>
      <c r="G880" s="1"/>
      <c r="H880" s="1"/>
      <c r="I880" s="1"/>
      <c r="J880" s="1"/>
      <c r="K880" s="1"/>
      <c r="L880" s="1"/>
      <c r="M880" s="1"/>
    </row>
    <row r="881" spans="1:13" ht="13.2" x14ac:dyDescent="0.25">
      <c r="A881" s="1"/>
      <c r="B881" s="1"/>
      <c r="C881" s="1"/>
      <c r="D881" s="1"/>
      <c r="E881" s="1"/>
      <c r="F881" s="1"/>
      <c r="G881" s="1"/>
      <c r="H881" s="1"/>
      <c r="I881" s="1"/>
      <c r="J881" s="1"/>
      <c r="K881" s="1"/>
      <c r="L881" s="1"/>
      <c r="M881" s="1"/>
    </row>
    <row r="882" spans="1:13" ht="13.2" x14ac:dyDescent="0.25">
      <c r="A882" s="1"/>
      <c r="B882" s="1"/>
      <c r="C882" s="1"/>
      <c r="D882" s="1"/>
      <c r="E882" s="1"/>
      <c r="F882" s="1"/>
      <c r="G882" s="1"/>
      <c r="H882" s="1"/>
      <c r="I882" s="1"/>
      <c r="J882" s="1"/>
      <c r="K882" s="1"/>
      <c r="L882" s="1"/>
      <c r="M882" s="1"/>
    </row>
    <row r="883" spans="1:13" ht="13.2" x14ac:dyDescent="0.25">
      <c r="A883" s="1"/>
      <c r="B883" s="1"/>
      <c r="C883" s="1"/>
      <c r="D883" s="1"/>
      <c r="E883" s="1"/>
      <c r="F883" s="1"/>
      <c r="G883" s="1"/>
      <c r="H883" s="1"/>
      <c r="I883" s="1"/>
      <c r="J883" s="1"/>
      <c r="K883" s="1"/>
      <c r="L883" s="1"/>
      <c r="M883" s="1"/>
    </row>
    <row r="884" spans="1:13" ht="13.2" x14ac:dyDescent="0.25">
      <c r="A884" s="1"/>
      <c r="B884" s="1"/>
      <c r="C884" s="1"/>
      <c r="D884" s="1"/>
      <c r="E884" s="1"/>
      <c r="F884" s="1"/>
      <c r="G884" s="1"/>
      <c r="H884" s="1"/>
      <c r="I884" s="1"/>
      <c r="J884" s="1"/>
      <c r="K884" s="1"/>
      <c r="L884" s="1"/>
      <c r="M884" s="1"/>
    </row>
    <row r="885" spans="1:13" ht="13.2" x14ac:dyDescent="0.25">
      <c r="A885" s="1"/>
      <c r="B885" s="1"/>
      <c r="C885" s="1"/>
      <c r="D885" s="1"/>
      <c r="E885" s="1"/>
      <c r="F885" s="1"/>
      <c r="G885" s="1"/>
      <c r="H885" s="1"/>
      <c r="I885" s="1"/>
      <c r="J885" s="1"/>
      <c r="K885" s="1"/>
      <c r="L885" s="1"/>
      <c r="M885" s="1"/>
    </row>
    <row r="886" spans="1:13" ht="13.2" x14ac:dyDescent="0.25">
      <c r="A886" s="1"/>
      <c r="B886" s="1"/>
      <c r="C886" s="1"/>
      <c r="D886" s="1"/>
      <c r="E886" s="1"/>
      <c r="F886" s="1"/>
      <c r="G886" s="1"/>
      <c r="H886" s="1"/>
      <c r="I886" s="1"/>
      <c r="J886" s="1"/>
      <c r="K886" s="1"/>
      <c r="L886" s="1"/>
      <c r="M886" s="1"/>
    </row>
    <row r="887" spans="1:13" ht="13.2" x14ac:dyDescent="0.25">
      <c r="A887" s="1"/>
      <c r="B887" s="1"/>
      <c r="C887" s="1"/>
      <c r="D887" s="1"/>
      <c r="E887" s="1"/>
      <c r="F887" s="1"/>
      <c r="G887" s="1"/>
      <c r="H887" s="1"/>
      <c r="I887" s="1"/>
      <c r="J887" s="1"/>
      <c r="K887" s="1"/>
      <c r="L887" s="1"/>
      <c r="M887" s="1"/>
    </row>
    <row r="888" spans="1:13" ht="13.2" x14ac:dyDescent="0.25">
      <c r="A888" s="1"/>
      <c r="B888" s="1"/>
      <c r="C888" s="1"/>
      <c r="D888" s="1"/>
      <c r="E888" s="1"/>
      <c r="F888" s="1"/>
      <c r="G888" s="1"/>
      <c r="H888" s="1"/>
      <c r="I888" s="1"/>
      <c r="J888" s="1"/>
      <c r="K888" s="1"/>
      <c r="L888" s="1"/>
      <c r="M888" s="1"/>
    </row>
    <row r="889" spans="1:13" ht="13.2" x14ac:dyDescent="0.25">
      <c r="A889" s="1"/>
      <c r="B889" s="1"/>
      <c r="C889" s="1"/>
      <c r="D889" s="1"/>
      <c r="E889" s="1"/>
      <c r="F889" s="1"/>
      <c r="G889" s="1"/>
      <c r="H889" s="1"/>
      <c r="I889" s="1"/>
      <c r="J889" s="1"/>
      <c r="K889" s="1"/>
      <c r="L889" s="1"/>
      <c r="M889" s="1"/>
    </row>
    <row r="890" spans="1:13" ht="13.2" x14ac:dyDescent="0.25">
      <c r="A890" s="1"/>
      <c r="B890" s="1"/>
      <c r="C890" s="1"/>
      <c r="D890" s="1"/>
      <c r="E890" s="1"/>
      <c r="F890" s="1"/>
      <c r="G890" s="1"/>
      <c r="H890" s="1"/>
      <c r="I890" s="1"/>
      <c r="J890" s="1"/>
      <c r="K890" s="1"/>
      <c r="L890" s="1"/>
      <c r="M890" s="1"/>
    </row>
    <row r="891" spans="1:13" ht="13.2" x14ac:dyDescent="0.25">
      <c r="A891" s="1"/>
      <c r="B891" s="1"/>
      <c r="C891" s="1"/>
      <c r="D891" s="1"/>
      <c r="E891" s="1"/>
      <c r="F891" s="1"/>
      <c r="G891" s="1"/>
      <c r="H891" s="1"/>
      <c r="I891" s="1"/>
      <c r="J891" s="1"/>
      <c r="K891" s="1"/>
      <c r="L891" s="1"/>
      <c r="M891" s="1"/>
    </row>
    <row r="892" spans="1:13" ht="13.2" x14ac:dyDescent="0.25">
      <c r="A892" s="1"/>
      <c r="B892" s="1"/>
      <c r="C892" s="1"/>
      <c r="D892" s="1"/>
      <c r="E892" s="1"/>
      <c r="F892" s="1"/>
      <c r="G892" s="1"/>
      <c r="H892" s="1"/>
      <c r="I892" s="1"/>
      <c r="J892" s="1"/>
      <c r="K892" s="1"/>
      <c r="L892" s="1"/>
      <c r="M892" s="1"/>
    </row>
    <row r="893" spans="1:13" ht="13.2" x14ac:dyDescent="0.25">
      <c r="A893" s="1"/>
      <c r="B893" s="1"/>
      <c r="C893" s="1"/>
      <c r="D893" s="1"/>
      <c r="E893" s="1"/>
      <c r="F893" s="1"/>
      <c r="G893" s="1"/>
      <c r="H893" s="1"/>
      <c r="I893" s="1"/>
      <c r="J893" s="1"/>
      <c r="K893" s="1"/>
      <c r="L893" s="1"/>
      <c r="M893" s="1"/>
    </row>
    <row r="894" spans="1:13" ht="13.2" x14ac:dyDescent="0.25">
      <c r="A894" s="1"/>
      <c r="B894" s="1"/>
      <c r="C894" s="1"/>
      <c r="D894" s="1"/>
      <c r="E894" s="1"/>
      <c r="F894" s="1"/>
      <c r="G894" s="1"/>
      <c r="H894" s="1"/>
      <c r="I894" s="1"/>
      <c r="J894" s="1"/>
      <c r="K894" s="1"/>
      <c r="L894" s="1"/>
      <c r="M894" s="1"/>
    </row>
    <row r="895" spans="1:13" ht="13.2" x14ac:dyDescent="0.25">
      <c r="A895" s="1"/>
      <c r="B895" s="1"/>
      <c r="C895" s="1"/>
      <c r="D895" s="1"/>
      <c r="E895" s="1"/>
      <c r="F895" s="1"/>
      <c r="G895" s="1"/>
      <c r="H895" s="1"/>
      <c r="I895" s="1"/>
      <c r="J895" s="1"/>
      <c r="K895" s="1"/>
      <c r="L895" s="1"/>
      <c r="M895" s="1"/>
    </row>
    <row r="896" spans="1:13" ht="13.2" x14ac:dyDescent="0.25">
      <c r="A896" s="1"/>
      <c r="B896" s="1"/>
      <c r="C896" s="1"/>
      <c r="D896" s="1"/>
      <c r="E896" s="1"/>
      <c r="F896" s="1"/>
      <c r="G896" s="1"/>
      <c r="H896" s="1"/>
      <c r="I896" s="1"/>
      <c r="J896" s="1"/>
      <c r="K896" s="1"/>
      <c r="L896" s="1"/>
      <c r="M896" s="1"/>
    </row>
    <row r="897" spans="1:13" ht="13.2" x14ac:dyDescent="0.25">
      <c r="A897" s="1"/>
      <c r="B897" s="1"/>
      <c r="C897" s="1"/>
      <c r="D897" s="1"/>
      <c r="E897" s="1"/>
      <c r="F897" s="1"/>
      <c r="G897" s="1"/>
      <c r="H897" s="1"/>
      <c r="I897" s="1"/>
      <c r="J897" s="1"/>
      <c r="K897" s="1"/>
      <c r="L897" s="1"/>
      <c r="M897" s="1"/>
    </row>
    <row r="898" spans="1:13" ht="13.2" x14ac:dyDescent="0.25">
      <c r="A898" s="1"/>
      <c r="B898" s="1"/>
      <c r="C898" s="1"/>
      <c r="D898" s="1"/>
      <c r="E898" s="1"/>
      <c r="F898" s="1"/>
      <c r="G898" s="1"/>
      <c r="H898" s="1"/>
      <c r="I898" s="1"/>
      <c r="J898" s="1"/>
      <c r="K898" s="1"/>
      <c r="L898" s="1"/>
      <c r="M898" s="1"/>
    </row>
    <row r="899" spans="1:13" ht="13.2" x14ac:dyDescent="0.25">
      <c r="A899" s="1"/>
      <c r="B899" s="1"/>
      <c r="C899" s="1"/>
      <c r="D899" s="1"/>
      <c r="E899" s="1"/>
      <c r="F899" s="1"/>
      <c r="G899" s="1"/>
      <c r="H899" s="1"/>
      <c r="I899" s="1"/>
      <c r="J899" s="1"/>
      <c r="K899" s="1"/>
      <c r="L899" s="1"/>
      <c r="M899" s="1"/>
    </row>
    <row r="900" spans="1:13" ht="13.2" x14ac:dyDescent="0.25">
      <c r="A900" s="1"/>
      <c r="B900" s="1"/>
      <c r="C900" s="1"/>
      <c r="D900" s="1"/>
      <c r="E900" s="1"/>
      <c r="F900" s="1"/>
      <c r="G900" s="1"/>
      <c r="H900" s="1"/>
      <c r="I900" s="1"/>
      <c r="J900" s="1"/>
      <c r="K900" s="1"/>
      <c r="L900" s="1"/>
      <c r="M900" s="1"/>
    </row>
    <row r="901" spans="1:13" ht="13.2" x14ac:dyDescent="0.25">
      <c r="A901" s="1"/>
      <c r="B901" s="1"/>
      <c r="C901" s="1"/>
      <c r="D901" s="1"/>
      <c r="E901" s="1"/>
      <c r="F901" s="1"/>
      <c r="G901" s="1"/>
      <c r="H901" s="1"/>
      <c r="I901" s="1"/>
      <c r="J901" s="1"/>
      <c r="K901" s="1"/>
      <c r="L901" s="1"/>
      <c r="M901" s="1"/>
    </row>
    <row r="902" spans="1:13" ht="13.2" x14ac:dyDescent="0.25">
      <c r="A902" s="1"/>
      <c r="B902" s="1"/>
      <c r="C902" s="1"/>
      <c r="D902" s="1"/>
      <c r="E902" s="1"/>
      <c r="F902" s="1"/>
      <c r="G902" s="1"/>
      <c r="H902" s="1"/>
      <c r="I902" s="1"/>
      <c r="J902" s="1"/>
      <c r="K902" s="1"/>
      <c r="L902" s="1"/>
      <c r="M902" s="1"/>
    </row>
    <row r="903" spans="1:13" ht="13.2" x14ac:dyDescent="0.25">
      <c r="A903" s="1"/>
      <c r="B903" s="1"/>
      <c r="C903" s="1"/>
      <c r="D903" s="1"/>
      <c r="E903" s="1"/>
      <c r="F903" s="1"/>
      <c r="G903" s="1"/>
      <c r="H903" s="1"/>
      <c r="I903" s="1"/>
      <c r="J903" s="1"/>
      <c r="K903" s="1"/>
      <c r="L903" s="1"/>
      <c r="M903" s="1"/>
    </row>
    <row r="904" spans="1:13" ht="13.2" x14ac:dyDescent="0.25">
      <c r="A904" s="1"/>
      <c r="B904" s="1"/>
      <c r="C904" s="1"/>
      <c r="D904" s="1"/>
      <c r="E904" s="1"/>
      <c r="F904" s="1"/>
      <c r="G904" s="1"/>
      <c r="H904" s="1"/>
      <c r="I904" s="1"/>
      <c r="J904" s="1"/>
      <c r="K904" s="1"/>
      <c r="L904" s="1"/>
      <c r="M904" s="1"/>
    </row>
    <row r="905" spans="1:13" ht="13.2" x14ac:dyDescent="0.25">
      <c r="A905" s="1"/>
      <c r="B905" s="1"/>
      <c r="C905" s="1"/>
      <c r="D905" s="1"/>
      <c r="E905" s="1"/>
      <c r="F905" s="1"/>
      <c r="G905" s="1"/>
      <c r="H905" s="1"/>
      <c r="I905" s="1"/>
      <c r="J905" s="1"/>
      <c r="K905" s="1"/>
      <c r="L905" s="1"/>
      <c r="M905" s="1"/>
    </row>
    <row r="906" spans="1:13" ht="13.2" x14ac:dyDescent="0.25">
      <c r="A906" s="1"/>
      <c r="B906" s="1"/>
      <c r="C906" s="1"/>
      <c r="D906" s="1"/>
      <c r="E906" s="1"/>
      <c r="F906" s="1"/>
      <c r="G906" s="1"/>
      <c r="H906" s="1"/>
      <c r="I906" s="1"/>
      <c r="J906" s="1"/>
      <c r="K906" s="1"/>
      <c r="L906" s="1"/>
      <c r="M906" s="1"/>
    </row>
    <row r="907" spans="1:13" ht="13.2" x14ac:dyDescent="0.25">
      <c r="A907" s="1"/>
      <c r="B907" s="1"/>
      <c r="C907" s="1"/>
      <c r="D907" s="1"/>
      <c r="E907" s="1"/>
      <c r="F907" s="1"/>
      <c r="G907" s="1"/>
      <c r="H907" s="1"/>
      <c r="I907" s="1"/>
      <c r="J907" s="1"/>
      <c r="K907" s="1"/>
      <c r="L907" s="1"/>
      <c r="M907" s="1"/>
    </row>
    <row r="908" spans="1:13" ht="13.2" x14ac:dyDescent="0.25">
      <c r="A908" s="1"/>
      <c r="B908" s="1"/>
      <c r="C908" s="1"/>
      <c r="D908" s="1"/>
      <c r="E908" s="1"/>
      <c r="F908" s="1"/>
      <c r="G908" s="1"/>
      <c r="H908" s="1"/>
      <c r="I908" s="1"/>
      <c r="J908" s="1"/>
      <c r="K908" s="1"/>
      <c r="L908" s="1"/>
      <c r="M908" s="1"/>
    </row>
    <row r="909" spans="1:13" ht="13.2" x14ac:dyDescent="0.25">
      <c r="A909" s="1"/>
      <c r="B909" s="1"/>
      <c r="C909" s="1"/>
      <c r="D909" s="1"/>
      <c r="E909" s="1"/>
      <c r="F909" s="1"/>
      <c r="G909" s="1"/>
      <c r="H909" s="1"/>
      <c r="I909" s="1"/>
      <c r="J909" s="1"/>
      <c r="K909" s="1"/>
      <c r="L909" s="1"/>
      <c r="M909" s="1"/>
    </row>
    <row r="910" spans="1:13" ht="13.2" x14ac:dyDescent="0.25">
      <c r="A910" s="1"/>
      <c r="B910" s="1"/>
      <c r="C910" s="1"/>
      <c r="D910" s="1"/>
      <c r="E910" s="1"/>
      <c r="F910" s="1"/>
      <c r="G910" s="1"/>
      <c r="H910" s="1"/>
      <c r="I910" s="1"/>
      <c r="J910" s="1"/>
      <c r="K910" s="1"/>
      <c r="L910" s="1"/>
      <c r="M910" s="1"/>
    </row>
    <row r="911" spans="1:13" ht="13.2" x14ac:dyDescent="0.25">
      <c r="A911" s="1"/>
      <c r="B911" s="1"/>
      <c r="C911" s="1"/>
      <c r="D911" s="1"/>
      <c r="E911" s="1"/>
      <c r="F911" s="1"/>
      <c r="G911" s="1"/>
      <c r="H911" s="1"/>
      <c r="I911" s="1"/>
      <c r="J911" s="1"/>
      <c r="K911" s="1"/>
      <c r="L911" s="1"/>
      <c r="M911" s="1"/>
    </row>
    <row r="912" spans="1:13" ht="13.2" x14ac:dyDescent="0.25">
      <c r="A912" s="1"/>
      <c r="B912" s="1"/>
      <c r="C912" s="1"/>
      <c r="D912" s="1"/>
      <c r="E912" s="1"/>
      <c r="F912" s="1"/>
      <c r="G912" s="1"/>
      <c r="H912" s="1"/>
      <c r="I912" s="1"/>
      <c r="J912" s="1"/>
      <c r="K912" s="1"/>
      <c r="L912" s="1"/>
      <c r="M912" s="1"/>
    </row>
    <row r="913" spans="1:13" ht="13.2" x14ac:dyDescent="0.25">
      <c r="A913" s="1"/>
      <c r="B913" s="1"/>
      <c r="C913" s="1"/>
      <c r="D913" s="1"/>
      <c r="E913" s="1"/>
      <c r="F913" s="1"/>
      <c r="G913" s="1"/>
      <c r="H913" s="1"/>
      <c r="I913" s="1"/>
      <c r="J913" s="1"/>
      <c r="K913" s="1"/>
      <c r="L913" s="1"/>
      <c r="M913" s="1"/>
    </row>
    <row r="914" spans="1:13" ht="13.2" x14ac:dyDescent="0.25">
      <c r="A914" s="1"/>
      <c r="B914" s="1"/>
      <c r="C914" s="1"/>
      <c r="D914" s="1"/>
      <c r="E914" s="1"/>
      <c r="F914" s="1"/>
      <c r="G914" s="1"/>
      <c r="H914" s="1"/>
      <c r="I914" s="1"/>
      <c r="J914" s="1"/>
      <c r="K914" s="1"/>
      <c r="L914" s="1"/>
      <c r="M914" s="1"/>
    </row>
    <row r="915" spans="1:13" ht="13.2" x14ac:dyDescent="0.25">
      <c r="A915" s="1"/>
      <c r="B915" s="1"/>
      <c r="C915" s="1"/>
      <c r="D915" s="1"/>
      <c r="E915" s="1"/>
      <c r="F915" s="1"/>
      <c r="G915" s="1"/>
      <c r="H915" s="1"/>
      <c r="I915" s="1"/>
      <c r="J915" s="1"/>
      <c r="K915" s="1"/>
      <c r="L915" s="1"/>
      <c r="M915" s="1"/>
    </row>
    <row r="916" spans="1:13" ht="13.2" x14ac:dyDescent="0.25">
      <c r="A916" s="1"/>
      <c r="B916" s="1"/>
      <c r="C916" s="1"/>
      <c r="D916" s="1"/>
      <c r="E916" s="1"/>
      <c r="F916" s="1"/>
      <c r="G916" s="1"/>
      <c r="H916" s="1"/>
      <c r="I916" s="1"/>
      <c r="J916" s="1"/>
      <c r="K916" s="1"/>
      <c r="L916" s="1"/>
      <c r="M916" s="1"/>
    </row>
    <row r="917" spans="1:13" ht="13.2" x14ac:dyDescent="0.25">
      <c r="A917" s="1"/>
      <c r="B917" s="1"/>
      <c r="C917" s="1"/>
      <c r="D917" s="1"/>
      <c r="E917" s="1"/>
      <c r="F917" s="1"/>
      <c r="G917" s="1"/>
      <c r="H917" s="1"/>
      <c r="I917" s="1"/>
      <c r="J917" s="1"/>
      <c r="K917" s="1"/>
      <c r="L917" s="1"/>
      <c r="M917" s="1"/>
    </row>
    <row r="918" spans="1:13" ht="13.2" x14ac:dyDescent="0.25">
      <c r="A918" s="1"/>
      <c r="B918" s="1"/>
      <c r="C918" s="1"/>
      <c r="D918" s="1"/>
      <c r="E918" s="1"/>
      <c r="F918" s="1"/>
      <c r="G918" s="1"/>
      <c r="H918" s="1"/>
      <c r="I918" s="1"/>
      <c r="J918" s="1"/>
      <c r="K918" s="1"/>
      <c r="L918" s="1"/>
      <c r="M918" s="1"/>
    </row>
    <row r="919" spans="1:13" ht="13.2" x14ac:dyDescent="0.25">
      <c r="A919" s="1"/>
      <c r="B919" s="1"/>
      <c r="C919" s="1"/>
      <c r="D919" s="1"/>
      <c r="E919" s="1"/>
      <c r="F919" s="1"/>
      <c r="G919" s="1"/>
      <c r="H919" s="1"/>
      <c r="I919" s="1"/>
      <c r="J919" s="1"/>
      <c r="K919" s="1"/>
      <c r="L919" s="1"/>
      <c r="M919" s="1"/>
    </row>
    <row r="920" spans="1:13" ht="13.2" x14ac:dyDescent="0.25">
      <c r="A920" s="1"/>
      <c r="B920" s="1"/>
      <c r="C920" s="1"/>
      <c r="D920" s="1"/>
      <c r="E920" s="1"/>
      <c r="F920" s="1"/>
      <c r="G920" s="1"/>
      <c r="H920" s="1"/>
      <c r="I920" s="1"/>
      <c r="J920" s="1"/>
      <c r="K920" s="1"/>
      <c r="L920" s="1"/>
      <c r="M920" s="1"/>
    </row>
    <row r="921" spans="1:13" ht="13.2" x14ac:dyDescent="0.25">
      <c r="A921" s="1"/>
      <c r="B921" s="1"/>
      <c r="C921" s="1"/>
      <c r="D921" s="1"/>
      <c r="E921" s="1"/>
      <c r="F921" s="1"/>
      <c r="G921" s="1"/>
      <c r="H921" s="1"/>
      <c r="I921" s="1"/>
      <c r="J921" s="1"/>
      <c r="K921" s="1"/>
      <c r="L921" s="1"/>
      <c r="M921" s="1"/>
    </row>
    <row r="922" spans="1:13" ht="13.2" x14ac:dyDescent="0.25">
      <c r="A922" s="1"/>
      <c r="B922" s="1"/>
      <c r="C922" s="1"/>
      <c r="D922" s="1"/>
      <c r="E922" s="1"/>
      <c r="F922" s="1"/>
      <c r="G922" s="1"/>
      <c r="H922" s="1"/>
      <c r="I922" s="1"/>
      <c r="J922" s="1"/>
      <c r="K922" s="1"/>
      <c r="L922" s="1"/>
      <c r="M922" s="1"/>
    </row>
    <row r="923" spans="1:13" ht="13.2" x14ac:dyDescent="0.25">
      <c r="A923" s="1"/>
      <c r="B923" s="1"/>
      <c r="C923" s="1"/>
      <c r="D923" s="1"/>
      <c r="E923" s="1"/>
      <c r="F923" s="1"/>
      <c r="G923" s="1"/>
      <c r="H923" s="1"/>
      <c r="I923" s="1"/>
      <c r="J923" s="1"/>
      <c r="K923" s="1"/>
      <c r="L923" s="1"/>
      <c r="M923" s="1"/>
    </row>
    <row r="924" spans="1:13" ht="13.2" x14ac:dyDescent="0.25">
      <c r="A924" s="1"/>
      <c r="B924" s="1"/>
      <c r="C924" s="1"/>
      <c r="D924" s="1"/>
      <c r="E924" s="1"/>
      <c r="F924" s="1"/>
      <c r="G924" s="1"/>
      <c r="H924" s="1"/>
      <c r="I924" s="1"/>
      <c r="J924" s="1"/>
      <c r="K924" s="1"/>
      <c r="L924" s="1"/>
      <c r="M924" s="1"/>
    </row>
    <row r="925" spans="1:13" ht="13.2" x14ac:dyDescent="0.25">
      <c r="A925" s="1"/>
      <c r="B925" s="1"/>
      <c r="C925" s="1"/>
      <c r="D925" s="1"/>
      <c r="E925" s="1"/>
      <c r="F925" s="1"/>
      <c r="G925" s="1"/>
      <c r="H925" s="1"/>
      <c r="I925" s="1"/>
      <c r="J925" s="1"/>
      <c r="K925" s="1"/>
      <c r="L925" s="1"/>
      <c r="M925" s="1"/>
    </row>
    <row r="926" spans="1:13" ht="13.2" x14ac:dyDescent="0.25">
      <c r="A926" s="1"/>
      <c r="B926" s="1"/>
      <c r="C926" s="1"/>
      <c r="D926" s="1"/>
      <c r="E926" s="1"/>
      <c r="F926" s="1"/>
      <c r="G926" s="1"/>
      <c r="H926" s="1"/>
      <c r="I926" s="1"/>
      <c r="J926" s="1"/>
      <c r="K926" s="1"/>
      <c r="L926" s="1"/>
      <c r="M926" s="1"/>
    </row>
    <row r="927" spans="1:13" ht="13.2" x14ac:dyDescent="0.25">
      <c r="A927" s="1"/>
      <c r="B927" s="1"/>
      <c r="C927" s="1"/>
      <c r="D927" s="1"/>
      <c r="E927" s="1"/>
      <c r="F927" s="1"/>
      <c r="G927" s="1"/>
      <c r="H927" s="1"/>
      <c r="I927" s="1"/>
      <c r="J927" s="1"/>
      <c r="K927" s="1"/>
      <c r="L927" s="1"/>
      <c r="M927" s="1"/>
    </row>
    <row r="928" spans="1:13" ht="13.2" x14ac:dyDescent="0.25">
      <c r="A928" s="1"/>
      <c r="B928" s="1"/>
      <c r="C928" s="1"/>
      <c r="D928" s="1"/>
      <c r="E928" s="1"/>
      <c r="F928" s="1"/>
      <c r="G928" s="1"/>
      <c r="H928" s="1"/>
      <c r="I928" s="1"/>
      <c r="J928" s="1"/>
      <c r="K928" s="1"/>
      <c r="L928" s="1"/>
      <c r="M928" s="1"/>
    </row>
    <row r="929" spans="1:13" ht="13.2" x14ac:dyDescent="0.25">
      <c r="A929" s="1"/>
      <c r="B929" s="1"/>
      <c r="C929" s="1"/>
      <c r="D929" s="1"/>
      <c r="E929" s="1"/>
      <c r="F929" s="1"/>
      <c r="G929" s="1"/>
      <c r="H929" s="1"/>
      <c r="I929" s="1"/>
      <c r="J929" s="1"/>
      <c r="K929" s="1"/>
      <c r="L929" s="1"/>
      <c r="M929" s="1"/>
    </row>
    <row r="930" spans="1:13" ht="13.2" x14ac:dyDescent="0.25">
      <c r="A930" s="1"/>
      <c r="B930" s="1"/>
      <c r="C930" s="1"/>
      <c r="D930" s="1"/>
      <c r="E930" s="1"/>
      <c r="F930" s="1"/>
      <c r="G930" s="1"/>
      <c r="H930" s="1"/>
      <c r="I930" s="1"/>
      <c r="J930" s="1"/>
      <c r="K930" s="1"/>
      <c r="L930" s="1"/>
      <c r="M930" s="1"/>
    </row>
    <row r="931" spans="1:13" ht="13.2" x14ac:dyDescent="0.25">
      <c r="A931" s="1"/>
      <c r="B931" s="1"/>
      <c r="C931" s="1"/>
      <c r="D931" s="1"/>
      <c r="E931" s="1"/>
      <c r="F931" s="1"/>
      <c r="G931" s="1"/>
      <c r="H931" s="1"/>
      <c r="I931" s="1"/>
      <c r="J931" s="1"/>
      <c r="K931" s="1"/>
      <c r="L931" s="1"/>
      <c r="M931" s="1"/>
    </row>
    <row r="932" spans="1:13" ht="13.2" x14ac:dyDescent="0.25">
      <c r="A932" s="1"/>
      <c r="B932" s="1"/>
      <c r="C932" s="1"/>
      <c r="D932" s="1"/>
      <c r="E932" s="1"/>
      <c r="F932" s="1"/>
      <c r="G932" s="1"/>
      <c r="H932" s="1"/>
      <c r="I932" s="1"/>
      <c r="J932" s="1"/>
      <c r="K932" s="1"/>
      <c r="L932" s="1"/>
      <c r="M932" s="1"/>
    </row>
    <row r="933" spans="1:13" ht="13.2" x14ac:dyDescent="0.25">
      <c r="A933" s="1"/>
      <c r="B933" s="1"/>
      <c r="C933" s="1"/>
      <c r="D933" s="1"/>
      <c r="E933" s="1"/>
      <c r="F933" s="1"/>
      <c r="G933" s="1"/>
      <c r="H933" s="1"/>
      <c r="I933" s="1"/>
      <c r="J933" s="1"/>
      <c r="K933" s="1"/>
      <c r="L933" s="1"/>
      <c r="M933" s="1"/>
    </row>
    <row r="934" spans="1:13" ht="13.2" x14ac:dyDescent="0.25">
      <c r="A934" s="1"/>
      <c r="B934" s="1"/>
      <c r="C934" s="1"/>
      <c r="D934" s="1"/>
      <c r="E934" s="1"/>
      <c r="F934" s="1"/>
      <c r="G934" s="1"/>
      <c r="H934" s="1"/>
      <c r="I934" s="1"/>
      <c r="J934" s="1"/>
      <c r="K934" s="1"/>
      <c r="L934" s="1"/>
      <c r="M934" s="1"/>
    </row>
    <row r="935" spans="1:13" ht="13.2" x14ac:dyDescent="0.25">
      <c r="A935" s="1"/>
      <c r="B935" s="1"/>
      <c r="C935" s="1"/>
      <c r="D935" s="1"/>
      <c r="E935" s="1"/>
      <c r="F935" s="1"/>
      <c r="G935" s="1"/>
      <c r="H935" s="1"/>
      <c r="I935" s="1"/>
      <c r="J935" s="1"/>
      <c r="K935" s="1"/>
      <c r="L935" s="1"/>
      <c r="M935" s="1"/>
    </row>
    <row r="936" spans="1:13" ht="13.2" x14ac:dyDescent="0.25">
      <c r="A936" s="1"/>
      <c r="B936" s="1"/>
      <c r="C936" s="1"/>
      <c r="D936" s="1"/>
      <c r="E936" s="1"/>
      <c r="F936" s="1"/>
      <c r="G936" s="1"/>
      <c r="H936" s="1"/>
      <c r="I936" s="1"/>
      <c r="J936" s="1"/>
      <c r="K936" s="1"/>
      <c r="L936" s="1"/>
      <c r="M936" s="1"/>
    </row>
    <row r="937" spans="1:13" ht="13.2" x14ac:dyDescent="0.25">
      <c r="A937" s="1"/>
      <c r="B937" s="1"/>
      <c r="C937" s="1"/>
      <c r="D937" s="1"/>
      <c r="E937" s="1"/>
      <c r="F937" s="1"/>
      <c r="G937" s="1"/>
      <c r="H937" s="1"/>
      <c r="I937" s="1"/>
      <c r="J937" s="1"/>
      <c r="K937" s="1"/>
      <c r="L937" s="1"/>
      <c r="M937" s="1"/>
    </row>
    <row r="938" spans="1:13" ht="13.2" x14ac:dyDescent="0.25">
      <c r="A938" s="1"/>
      <c r="B938" s="1"/>
      <c r="C938" s="1"/>
      <c r="D938" s="1"/>
      <c r="E938" s="1"/>
      <c r="F938" s="1"/>
      <c r="G938" s="1"/>
      <c r="H938" s="1"/>
      <c r="I938" s="1"/>
      <c r="J938" s="1"/>
      <c r="K938" s="1"/>
      <c r="L938" s="1"/>
      <c r="M938" s="1"/>
    </row>
    <row r="939" spans="1:13" ht="13.2" x14ac:dyDescent="0.25">
      <c r="A939" s="1"/>
      <c r="B939" s="1"/>
      <c r="C939" s="1"/>
      <c r="D939" s="1"/>
      <c r="E939" s="1"/>
      <c r="F939" s="1"/>
      <c r="G939" s="1"/>
      <c r="H939" s="1"/>
      <c r="I939" s="1"/>
      <c r="J939" s="1"/>
      <c r="K939" s="1"/>
      <c r="L939" s="1"/>
      <c r="M939" s="1"/>
    </row>
    <row r="940" spans="1:13" ht="13.2" x14ac:dyDescent="0.25">
      <c r="A940" s="1"/>
      <c r="B940" s="1"/>
      <c r="C940" s="1"/>
      <c r="D940" s="1"/>
      <c r="E940" s="1"/>
      <c r="F940" s="1"/>
      <c r="G940" s="1"/>
      <c r="H940" s="1"/>
      <c r="I940" s="1"/>
      <c r="J940" s="1"/>
      <c r="K940" s="1"/>
      <c r="L940" s="1"/>
      <c r="M940" s="1"/>
    </row>
    <row r="941" spans="1:13" ht="13.2" x14ac:dyDescent="0.25">
      <c r="A941" s="1"/>
      <c r="B941" s="1"/>
      <c r="C941" s="1"/>
      <c r="D941" s="1"/>
      <c r="E941" s="1"/>
      <c r="F941" s="1"/>
      <c r="G941" s="1"/>
      <c r="H941" s="1"/>
      <c r="I941" s="1"/>
      <c r="J941" s="1"/>
      <c r="K941" s="1"/>
      <c r="L941" s="1"/>
      <c r="M941" s="1"/>
    </row>
    <row r="942" spans="1:13" ht="13.2" x14ac:dyDescent="0.25">
      <c r="A942" s="1"/>
      <c r="B942" s="1"/>
      <c r="C942" s="1"/>
      <c r="D942" s="1"/>
      <c r="E942" s="1"/>
      <c r="F942" s="1"/>
      <c r="G942" s="1"/>
      <c r="H942" s="1"/>
      <c r="I942" s="1"/>
      <c r="J942" s="1"/>
      <c r="K942" s="1"/>
      <c r="L942" s="1"/>
      <c r="M942" s="1"/>
    </row>
    <row r="943" spans="1:13" ht="13.2" x14ac:dyDescent="0.25">
      <c r="A943" s="1"/>
      <c r="B943" s="1"/>
      <c r="C943" s="1"/>
      <c r="D943" s="1"/>
      <c r="E943" s="1"/>
      <c r="F943" s="1"/>
      <c r="G943" s="1"/>
      <c r="H943" s="1"/>
      <c r="I943" s="1"/>
      <c r="J943" s="1"/>
      <c r="K943" s="1"/>
      <c r="L943" s="1"/>
      <c r="M943" s="1"/>
    </row>
    <row r="944" spans="1:13" ht="13.2" x14ac:dyDescent="0.25">
      <c r="A944" s="1"/>
      <c r="B944" s="1"/>
      <c r="C944" s="1"/>
      <c r="D944" s="1"/>
      <c r="E944" s="1"/>
      <c r="F944" s="1"/>
      <c r="G944" s="1"/>
      <c r="H944" s="1"/>
      <c r="I944" s="1"/>
      <c r="J944" s="1"/>
      <c r="K944" s="1"/>
      <c r="L944" s="1"/>
      <c r="M944" s="1"/>
    </row>
    <row r="945" spans="1:13" ht="13.2" x14ac:dyDescent="0.25">
      <c r="A945" s="1"/>
      <c r="B945" s="1"/>
      <c r="C945" s="1"/>
      <c r="D945" s="1"/>
      <c r="E945" s="1"/>
      <c r="F945" s="1"/>
      <c r="G945" s="1"/>
      <c r="H945" s="1"/>
      <c r="I945" s="1"/>
      <c r="J945" s="1"/>
      <c r="K945" s="1"/>
      <c r="L945" s="1"/>
      <c r="M945" s="1"/>
    </row>
    <row r="946" spans="1:13" ht="13.2" x14ac:dyDescent="0.25">
      <c r="A946" s="1"/>
      <c r="B946" s="1"/>
      <c r="C946" s="1"/>
      <c r="D946" s="1"/>
      <c r="E946" s="1"/>
      <c r="F946" s="1"/>
      <c r="G946" s="1"/>
      <c r="H946" s="1"/>
      <c r="I946" s="1"/>
      <c r="J946" s="1"/>
      <c r="K946" s="1"/>
      <c r="L946" s="1"/>
      <c r="M946" s="1"/>
    </row>
    <row r="947" spans="1:13" ht="13.2" x14ac:dyDescent="0.25">
      <c r="A947" s="1"/>
      <c r="B947" s="1"/>
      <c r="C947" s="1"/>
      <c r="D947" s="1"/>
      <c r="E947" s="1"/>
      <c r="F947" s="1"/>
      <c r="G947" s="1"/>
      <c r="H947" s="1"/>
      <c r="I947" s="1"/>
      <c r="J947" s="1"/>
      <c r="K947" s="1"/>
      <c r="L947" s="1"/>
      <c r="M947" s="1"/>
    </row>
    <row r="948" spans="1:13" ht="13.2" x14ac:dyDescent="0.25">
      <c r="A948" s="1"/>
      <c r="B948" s="1"/>
      <c r="C948" s="1"/>
      <c r="D948" s="1"/>
      <c r="E948" s="1"/>
      <c r="F948" s="1"/>
      <c r="G948" s="1"/>
      <c r="H948" s="1"/>
      <c r="I948" s="1"/>
      <c r="J948" s="1"/>
      <c r="K948" s="1"/>
      <c r="L948" s="1"/>
      <c r="M948" s="1"/>
    </row>
    <row r="949" spans="1:13" ht="13.2" x14ac:dyDescent="0.25">
      <c r="A949" s="1"/>
      <c r="B949" s="1"/>
      <c r="C949" s="1"/>
      <c r="D949" s="1"/>
      <c r="E949" s="1"/>
      <c r="F949" s="1"/>
      <c r="G949" s="1"/>
      <c r="H949" s="1"/>
      <c r="I949" s="1"/>
      <c r="J949" s="1"/>
      <c r="K949" s="1"/>
      <c r="L949" s="1"/>
      <c r="M949" s="1"/>
    </row>
    <row r="950" spans="1:13" ht="13.2" x14ac:dyDescent="0.25">
      <c r="A950" s="1"/>
      <c r="B950" s="1"/>
      <c r="C950" s="1"/>
      <c r="D950" s="1"/>
      <c r="E950" s="1"/>
      <c r="F950" s="1"/>
      <c r="G950" s="1"/>
      <c r="H950" s="1"/>
      <c r="I950" s="1"/>
      <c r="J950" s="1"/>
      <c r="K950" s="1"/>
      <c r="L950" s="1"/>
      <c r="M950" s="1"/>
    </row>
    <row r="951" spans="1:13" ht="13.2" x14ac:dyDescent="0.25">
      <c r="A951" s="1"/>
      <c r="B951" s="1"/>
      <c r="C951" s="1"/>
      <c r="D951" s="1"/>
      <c r="E951" s="1"/>
      <c r="F951" s="1"/>
      <c r="G951" s="1"/>
      <c r="H951" s="1"/>
      <c r="I951" s="1"/>
      <c r="J951" s="1"/>
      <c r="K951" s="1"/>
      <c r="L951" s="1"/>
      <c r="M951" s="1"/>
    </row>
    <row r="952" spans="1:13" ht="13.2" x14ac:dyDescent="0.25">
      <c r="A952" s="1"/>
      <c r="B952" s="1"/>
      <c r="C952" s="1"/>
      <c r="D952" s="1"/>
      <c r="E952" s="1"/>
      <c r="F952" s="1"/>
      <c r="G952" s="1"/>
      <c r="H952" s="1"/>
      <c r="I952" s="1"/>
      <c r="J952" s="1"/>
      <c r="K952" s="1"/>
      <c r="L952" s="1"/>
      <c r="M952" s="1"/>
    </row>
    <row r="953" spans="1:13" ht="13.2" x14ac:dyDescent="0.25">
      <c r="A953" s="1"/>
      <c r="B953" s="1"/>
      <c r="C953" s="1"/>
      <c r="D953" s="1"/>
      <c r="E953" s="1"/>
      <c r="F953" s="1"/>
      <c r="G953" s="1"/>
      <c r="H953" s="1"/>
      <c r="I953" s="1"/>
      <c r="J953" s="1"/>
      <c r="K953" s="1"/>
      <c r="L953" s="1"/>
      <c r="M953" s="1"/>
    </row>
    <row r="954" spans="1:13" ht="13.2" x14ac:dyDescent="0.25">
      <c r="A954" s="1"/>
      <c r="B954" s="1"/>
      <c r="C954" s="1"/>
      <c r="D954" s="1"/>
      <c r="E954" s="1"/>
      <c r="F954" s="1"/>
      <c r="G954" s="1"/>
      <c r="H954" s="1"/>
      <c r="I954" s="1"/>
      <c r="J954" s="1"/>
      <c r="K954" s="1"/>
      <c r="L954" s="1"/>
      <c r="M954" s="1"/>
    </row>
    <row r="955" spans="1:13" ht="13.2" x14ac:dyDescent="0.25">
      <c r="A955" s="1"/>
      <c r="B955" s="1"/>
      <c r="C955" s="1"/>
      <c r="D955" s="1"/>
      <c r="E955" s="1"/>
      <c r="F955" s="1"/>
      <c r="G955" s="1"/>
      <c r="H955" s="1"/>
      <c r="I955" s="1"/>
      <c r="J955" s="1"/>
      <c r="K955" s="1"/>
      <c r="L955" s="1"/>
      <c r="M955" s="1"/>
    </row>
    <row r="956" spans="1:13" ht="13.2" x14ac:dyDescent="0.25">
      <c r="A956" s="1"/>
      <c r="B956" s="1"/>
      <c r="C956" s="1"/>
      <c r="D956" s="1"/>
      <c r="E956" s="1"/>
      <c r="F956" s="1"/>
      <c r="G956" s="1"/>
      <c r="H956" s="1"/>
      <c r="I956" s="1"/>
      <c r="J956" s="1"/>
      <c r="K956" s="1"/>
      <c r="L956" s="1"/>
      <c r="M956" s="1"/>
    </row>
    <row r="957" spans="1:13" ht="13.2" x14ac:dyDescent="0.25">
      <c r="A957" s="1"/>
      <c r="B957" s="1"/>
      <c r="C957" s="1"/>
      <c r="D957" s="1"/>
      <c r="E957" s="1"/>
      <c r="F957" s="1"/>
      <c r="G957" s="1"/>
      <c r="H957" s="1"/>
      <c r="I957" s="1"/>
      <c r="J957" s="1"/>
      <c r="K957" s="1"/>
      <c r="L957" s="1"/>
      <c r="M957" s="1"/>
    </row>
    <row r="958" spans="1:13" ht="13.2" x14ac:dyDescent="0.25">
      <c r="A958" s="1"/>
      <c r="B958" s="1"/>
      <c r="C958" s="1"/>
      <c r="D958" s="1"/>
      <c r="E958" s="1"/>
      <c r="F958" s="1"/>
      <c r="G958" s="1"/>
      <c r="H958" s="1"/>
      <c r="I958" s="1"/>
      <c r="J958" s="1"/>
      <c r="K958" s="1"/>
      <c r="L958" s="1"/>
      <c r="M958" s="1"/>
    </row>
    <row r="959" spans="1:13" ht="13.2" x14ac:dyDescent="0.25">
      <c r="A959" s="1"/>
      <c r="B959" s="1"/>
      <c r="C959" s="1"/>
      <c r="D959" s="1"/>
      <c r="E959" s="1"/>
      <c r="F959" s="1"/>
      <c r="G959" s="1"/>
      <c r="H959" s="1"/>
      <c r="I959" s="1"/>
      <c r="J959" s="1"/>
      <c r="K959" s="1"/>
      <c r="L959" s="1"/>
      <c r="M959" s="1"/>
    </row>
    <row r="960" spans="1:13" ht="13.2" x14ac:dyDescent="0.25">
      <c r="A960" s="1"/>
      <c r="B960" s="1"/>
      <c r="C960" s="1"/>
      <c r="D960" s="1"/>
      <c r="E960" s="1"/>
      <c r="F960" s="1"/>
      <c r="G960" s="1"/>
      <c r="H960" s="1"/>
      <c r="I960" s="1"/>
      <c r="J960" s="1"/>
      <c r="K960" s="1"/>
      <c r="L960" s="1"/>
      <c r="M960" s="1"/>
    </row>
    <row r="961" spans="1:13" ht="13.2" x14ac:dyDescent="0.25">
      <c r="A961" s="1"/>
      <c r="B961" s="1"/>
      <c r="C961" s="1"/>
      <c r="D961" s="1"/>
      <c r="E961" s="1"/>
      <c r="F961" s="1"/>
      <c r="G961" s="1"/>
      <c r="H961" s="1"/>
      <c r="I961" s="1"/>
      <c r="J961" s="1"/>
      <c r="K961" s="1"/>
      <c r="L961" s="1"/>
      <c r="M961" s="1"/>
    </row>
    <row r="962" spans="1:13" ht="13.2" x14ac:dyDescent="0.25">
      <c r="A962" s="1"/>
      <c r="B962" s="1"/>
      <c r="C962" s="1"/>
      <c r="D962" s="1"/>
      <c r="E962" s="1"/>
      <c r="F962" s="1"/>
      <c r="G962" s="1"/>
      <c r="H962" s="1"/>
      <c r="I962" s="1"/>
      <c r="J962" s="1"/>
      <c r="K962" s="1"/>
      <c r="L962" s="1"/>
      <c r="M962" s="1"/>
    </row>
    <row r="963" spans="1:13" ht="13.2" x14ac:dyDescent="0.25">
      <c r="A963" s="1"/>
      <c r="B963" s="1"/>
      <c r="C963" s="1"/>
      <c r="D963" s="1"/>
      <c r="E963" s="1"/>
      <c r="F963" s="1"/>
      <c r="G963" s="1"/>
      <c r="H963" s="1"/>
      <c r="I963" s="1"/>
      <c r="J963" s="1"/>
      <c r="K963" s="1"/>
      <c r="L963" s="1"/>
      <c r="M963" s="1"/>
    </row>
    <row r="964" spans="1:13" ht="13.2" x14ac:dyDescent="0.25">
      <c r="A964" s="1"/>
      <c r="B964" s="1"/>
      <c r="C964" s="1"/>
      <c r="D964" s="1"/>
      <c r="E964" s="1"/>
      <c r="F964" s="1"/>
      <c r="G964" s="1"/>
      <c r="H964" s="1"/>
      <c r="I964" s="1"/>
      <c r="J964" s="1"/>
      <c r="K964" s="1"/>
      <c r="L964" s="1"/>
      <c r="M964" s="1"/>
    </row>
    <row r="965" spans="1:13" ht="13.2" x14ac:dyDescent="0.25">
      <c r="A965" s="1"/>
      <c r="B965" s="1"/>
      <c r="C965" s="1"/>
      <c r="D965" s="1"/>
      <c r="E965" s="1"/>
      <c r="F965" s="1"/>
      <c r="G965" s="1"/>
      <c r="H965" s="1"/>
      <c r="I965" s="1"/>
      <c r="J965" s="1"/>
      <c r="K965" s="1"/>
      <c r="L965" s="1"/>
      <c r="M965" s="1"/>
    </row>
    <row r="966" spans="1:13" ht="13.2" x14ac:dyDescent="0.25">
      <c r="A966" s="1"/>
      <c r="B966" s="1"/>
      <c r="C966" s="1"/>
      <c r="D966" s="1"/>
      <c r="E966" s="1"/>
      <c r="F966" s="1"/>
      <c r="G966" s="1"/>
      <c r="H966" s="1"/>
      <c r="I966" s="1"/>
      <c r="J966" s="1"/>
      <c r="K966" s="1"/>
      <c r="L966" s="1"/>
      <c r="M966" s="1"/>
    </row>
    <row r="967" spans="1:13" ht="13.2" x14ac:dyDescent="0.25">
      <c r="A967" s="1"/>
      <c r="B967" s="1"/>
      <c r="C967" s="1"/>
      <c r="D967" s="1"/>
      <c r="E967" s="1"/>
      <c r="F967" s="1"/>
      <c r="G967" s="1"/>
      <c r="H967" s="1"/>
      <c r="I967" s="1"/>
      <c r="J967" s="1"/>
      <c r="K967" s="1"/>
      <c r="L967" s="1"/>
      <c r="M967" s="1"/>
    </row>
    <row r="968" spans="1:13" ht="13.2" x14ac:dyDescent="0.25">
      <c r="A968" s="1"/>
      <c r="B968" s="1"/>
      <c r="C968" s="1"/>
      <c r="D968" s="1"/>
      <c r="E968" s="1"/>
      <c r="F968" s="1"/>
      <c r="G968" s="1"/>
      <c r="H968" s="1"/>
      <c r="I968" s="1"/>
      <c r="J968" s="1"/>
      <c r="K968" s="1"/>
      <c r="L968" s="1"/>
      <c r="M968" s="1"/>
    </row>
    <row r="969" spans="1:13" ht="13.2" x14ac:dyDescent="0.25">
      <c r="A969" s="1"/>
      <c r="B969" s="1"/>
      <c r="C969" s="1"/>
      <c r="D969" s="1"/>
      <c r="E969" s="1"/>
      <c r="F969" s="1"/>
      <c r="G969" s="1"/>
      <c r="H969" s="1"/>
      <c r="I969" s="1"/>
      <c r="J969" s="1"/>
      <c r="K969" s="1"/>
      <c r="L969" s="1"/>
      <c r="M969" s="1"/>
    </row>
    <row r="970" spans="1:13" ht="13.2" x14ac:dyDescent="0.25">
      <c r="A970" s="1"/>
      <c r="B970" s="1"/>
      <c r="C970" s="1"/>
      <c r="D970" s="1"/>
      <c r="E970" s="1"/>
      <c r="F970" s="1"/>
      <c r="G970" s="1"/>
      <c r="H970" s="1"/>
      <c r="I970" s="1"/>
      <c r="J970" s="1"/>
      <c r="K970" s="1"/>
      <c r="L970" s="1"/>
      <c r="M970" s="1"/>
    </row>
    <row r="971" spans="1:13" ht="13.2" x14ac:dyDescent="0.25">
      <c r="A971" s="1"/>
      <c r="B971" s="1"/>
      <c r="C971" s="1"/>
      <c r="D971" s="1"/>
      <c r="E971" s="1"/>
      <c r="F971" s="1"/>
      <c r="G971" s="1"/>
      <c r="H971" s="1"/>
      <c r="I971" s="1"/>
      <c r="J971" s="1"/>
      <c r="K971" s="1"/>
      <c r="L971" s="1"/>
      <c r="M971" s="1"/>
    </row>
    <row r="972" spans="1:13" ht="13.2" x14ac:dyDescent="0.25">
      <c r="A972" s="1"/>
      <c r="B972" s="1"/>
      <c r="C972" s="1"/>
      <c r="D972" s="1"/>
      <c r="E972" s="1"/>
      <c r="F972" s="1"/>
      <c r="G972" s="1"/>
      <c r="H972" s="1"/>
      <c r="I972" s="1"/>
      <c r="J972" s="1"/>
      <c r="K972" s="1"/>
      <c r="L972" s="1"/>
      <c r="M972" s="1"/>
    </row>
    <row r="973" spans="1:13" ht="13.2" x14ac:dyDescent="0.25">
      <c r="A973" s="1"/>
      <c r="B973" s="1"/>
      <c r="C973" s="1"/>
      <c r="D973" s="1"/>
      <c r="E973" s="1"/>
      <c r="F973" s="1"/>
      <c r="G973" s="1"/>
      <c r="H973" s="1"/>
      <c r="I973" s="1"/>
      <c r="J973" s="1"/>
      <c r="K973" s="1"/>
      <c r="L973" s="1"/>
      <c r="M973" s="1"/>
    </row>
    <row r="974" spans="1:13" ht="13.2" x14ac:dyDescent="0.25">
      <c r="A974" s="1"/>
      <c r="B974" s="1"/>
      <c r="C974" s="1"/>
      <c r="D974" s="1"/>
      <c r="E974" s="1"/>
      <c r="F974" s="1"/>
      <c r="G974" s="1"/>
      <c r="H974" s="1"/>
      <c r="I974" s="1"/>
      <c r="J974" s="1"/>
      <c r="K974" s="1"/>
      <c r="L974" s="1"/>
      <c r="M974" s="1"/>
    </row>
    <row r="975" spans="1:13" ht="13.2" x14ac:dyDescent="0.25">
      <c r="A975" s="1"/>
      <c r="B975" s="1"/>
      <c r="C975" s="1"/>
      <c r="D975" s="1"/>
      <c r="E975" s="1"/>
      <c r="F975" s="1"/>
      <c r="G975" s="1"/>
      <c r="H975" s="1"/>
      <c r="I975" s="1"/>
      <c r="J975" s="1"/>
      <c r="K975" s="1"/>
      <c r="L975" s="1"/>
      <c r="M975" s="1"/>
    </row>
    <row r="976" spans="1:13" ht="13.2" x14ac:dyDescent="0.25">
      <c r="A976" s="1"/>
      <c r="B976" s="1"/>
      <c r="C976" s="1"/>
      <c r="D976" s="1"/>
      <c r="E976" s="1"/>
      <c r="F976" s="1"/>
      <c r="G976" s="1"/>
      <c r="H976" s="1"/>
      <c r="I976" s="1"/>
      <c r="J976" s="1"/>
      <c r="K976" s="1"/>
      <c r="L976" s="1"/>
      <c r="M976" s="1"/>
    </row>
    <row r="977" spans="1:13" ht="13.2" x14ac:dyDescent="0.25">
      <c r="A977" s="1"/>
      <c r="B977" s="1"/>
      <c r="C977" s="1"/>
      <c r="D977" s="1"/>
      <c r="E977" s="1"/>
      <c r="F977" s="1"/>
      <c r="G977" s="1"/>
      <c r="H977" s="1"/>
      <c r="I977" s="1"/>
      <c r="J977" s="1"/>
      <c r="K977" s="1"/>
      <c r="L977" s="1"/>
      <c r="M977" s="1"/>
    </row>
    <row r="978" spans="1:13" ht="13.2" x14ac:dyDescent="0.25">
      <c r="A978" s="1"/>
      <c r="B978" s="1"/>
      <c r="C978" s="1"/>
      <c r="D978" s="1"/>
      <c r="E978" s="1"/>
      <c r="F978" s="1"/>
      <c r="G978" s="1"/>
      <c r="H978" s="1"/>
      <c r="I978" s="1"/>
      <c r="J978" s="1"/>
      <c r="K978" s="1"/>
      <c r="L978" s="1"/>
      <c r="M978" s="1"/>
    </row>
    <row r="979" spans="1:13" ht="13.2" x14ac:dyDescent="0.25">
      <c r="A979" s="1"/>
      <c r="B979" s="1"/>
      <c r="C979" s="1"/>
      <c r="D979" s="1"/>
      <c r="E979" s="1"/>
      <c r="F979" s="1"/>
      <c r="G979" s="1"/>
      <c r="H979" s="1"/>
      <c r="I979" s="1"/>
      <c r="J979" s="1"/>
      <c r="K979" s="1"/>
      <c r="L979" s="1"/>
      <c r="M979" s="1"/>
    </row>
    <row r="980" spans="1:13" ht="13.2" x14ac:dyDescent="0.25">
      <c r="A980" s="1"/>
      <c r="B980" s="1"/>
      <c r="C980" s="1"/>
      <c r="D980" s="1"/>
      <c r="E980" s="1"/>
      <c r="F980" s="1"/>
      <c r="G980" s="1"/>
      <c r="H980" s="1"/>
      <c r="I980" s="1"/>
      <c r="J980" s="1"/>
      <c r="K980" s="1"/>
      <c r="L980" s="1"/>
      <c r="M980" s="1"/>
    </row>
    <row r="981" spans="1:13" ht="13.2" x14ac:dyDescent="0.25">
      <c r="A981" s="1"/>
      <c r="B981" s="1"/>
      <c r="C981" s="1"/>
      <c r="D981" s="1"/>
      <c r="E981" s="1"/>
      <c r="F981" s="1"/>
      <c r="G981" s="1"/>
      <c r="H981" s="1"/>
      <c r="I981" s="1"/>
      <c r="J981" s="1"/>
      <c r="K981" s="1"/>
      <c r="L981" s="1"/>
      <c r="M981" s="1"/>
    </row>
    <row r="982" spans="1:13" ht="13.2" x14ac:dyDescent="0.25">
      <c r="A982" s="1"/>
      <c r="B982" s="1"/>
      <c r="C982" s="1"/>
      <c r="D982" s="1"/>
      <c r="E982" s="1"/>
      <c r="F982" s="1"/>
      <c r="G982" s="1"/>
      <c r="H982" s="1"/>
      <c r="I982" s="1"/>
      <c r="J982" s="1"/>
      <c r="K982" s="1"/>
      <c r="L982" s="1"/>
      <c r="M982" s="1"/>
    </row>
    <row r="983" spans="1:13" ht="13.2" x14ac:dyDescent="0.25">
      <c r="A983" s="1"/>
      <c r="B983" s="1"/>
      <c r="C983" s="1"/>
      <c r="D983" s="1"/>
      <c r="E983" s="1"/>
      <c r="F983" s="1"/>
      <c r="G983" s="1"/>
      <c r="H983" s="1"/>
      <c r="I983" s="1"/>
      <c r="J983" s="1"/>
      <c r="K983" s="1"/>
      <c r="L983" s="1"/>
      <c r="M983" s="1"/>
    </row>
    <row r="984" spans="1:13" ht="13.2" x14ac:dyDescent="0.25">
      <c r="A984" s="1"/>
      <c r="B984" s="1"/>
      <c r="C984" s="1"/>
      <c r="D984" s="1"/>
      <c r="E984" s="1"/>
      <c r="F984" s="1"/>
      <c r="G984" s="1"/>
      <c r="H984" s="1"/>
      <c r="I984" s="1"/>
      <c r="J984" s="1"/>
      <c r="K984" s="1"/>
      <c r="L984" s="1"/>
      <c r="M984" s="1"/>
    </row>
    <row r="985" spans="1:13" ht="13.2" x14ac:dyDescent="0.25">
      <c r="A985" s="1"/>
      <c r="B985" s="1"/>
      <c r="C985" s="1"/>
      <c r="D985" s="1"/>
      <c r="E985" s="1"/>
      <c r="F985" s="1"/>
      <c r="G985" s="1"/>
      <c r="H985" s="1"/>
      <c r="I985" s="1"/>
      <c r="J985" s="1"/>
      <c r="K985" s="1"/>
      <c r="L985" s="1"/>
      <c r="M985" s="1"/>
    </row>
    <row r="986" spans="1:13" ht="13.2" x14ac:dyDescent="0.25">
      <c r="A986" s="1"/>
      <c r="B986" s="1"/>
      <c r="C986" s="1"/>
      <c r="D986" s="1"/>
      <c r="E986" s="1"/>
      <c r="F986" s="1"/>
      <c r="G986" s="1"/>
      <c r="H986" s="1"/>
      <c r="I986" s="1"/>
      <c r="J986" s="1"/>
      <c r="K986" s="1"/>
      <c r="L986" s="1"/>
      <c r="M986" s="1"/>
    </row>
    <row r="987" spans="1:13" ht="13.2" x14ac:dyDescent="0.25">
      <c r="A987" s="1"/>
      <c r="B987" s="1"/>
      <c r="C987" s="1"/>
      <c r="D987" s="1"/>
      <c r="E987" s="1"/>
      <c r="F987" s="1"/>
      <c r="G987" s="1"/>
      <c r="H987" s="1"/>
      <c r="I987" s="1"/>
      <c r="J987" s="1"/>
      <c r="K987" s="1"/>
      <c r="L987" s="1"/>
      <c r="M987" s="1"/>
    </row>
    <row r="988" spans="1:13" ht="13.2" x14ac:dyDescent="0.25">
      <c r="A988" s="1"/>
      <c r="B988" s="1"/>
      <c r="C988" s="1"/>
      <c r="D988" s="1"/>
      <c r="E988" s="1"/>
      <c r="F988" s="1"/>
      <c r="G988" s="1"/>
      <c r="H988" s="1"/>
      <c r="I988" s="1"/>
      <c r="J988" s="1"/>
      <c r="K988" s="1"/>
      <c r="L988" s="1"/>
      <c r="M988" s="1"/>
    </row>
    <row r="989" spans="1:13" ht="13.2" x14ac:dyDescent="0.25">
      <c r="A989" s="1"/>
      <c r="B989" s="1"/>
      <c r="C989" s="1"/>
      <c r="D989" s="1"/>
      <c r="E989" s="1"/>
      <c r="F989" s="1"/>
      <c r="G989" s="1"/>
      <c r="H989" s="1"/>
      <c r="I989" s="1"/>
      <c r="J989" s="1"/>
      <c r="K989" s="1"/>
      <c r="L989" s="1"/>
      <c r="M989" s="1"/>
    </row>
    <row r="990" spans="1:13" ht="13.2" x14ac:dyDescent="0.25">
      <c r="A990" s="1"/>
      <c r="B990" s="1"/>
      <c r="C990" s="1"/>
      <c r="D990" s="1"/>
      <c r="E990" s="1"/>
      <c r="F990" s="1"/>
      <c r="G990" s="1"/>
      <c r="H990" s="1"/>
      <c r="I990" s="1"/>
      <c r="J990" s="1"/>
      <c r="K990" s="1"/>
      <c r="L990" s="1"/>
      <c r="M990" s="1"/>
    </row>
    <row r="991" spans="1:13" ht="13.2" x14ac:dyDescent="0.25">
      <c r="A991" s="1"/>
      <c r="B991" s="1"/>
      <c r="C991" s="1"/>
      <c r="D991" s="1"/>
      <c r="E991" s="1"/>
      <c r="F991" s="1"/>
      <c r="G991" s="1"/>
      <c r="H991" s="1"/>
      <c r="I991" s="1"/>
      <c r="J991" s="1"/>
      <c r="K991" s="1"/>
      <c r="L991" s="1"/>
      <c r="M991" s="1"/>
    </row>
    <row r="992" spans="1:13" ht="13.2" x14ac:dyDescent="0.25">
      <c r="A992" s="1"/>
      <c r="B992" s="1"/>
      <c r="C992" s="1"/>
      <c r="D992" s="1"/>
      <c r="E992" s="1"/>
      <c r="F992" s="1"/>
      <c r="G992" s="1"/>
      <c r="H992" s="1"/>
      <c r="I992" s="1"/>
      <c r="J992" s="1"/>
      <c r="K992" s="1"/>
      <c r="L992" s="1"/>
      <c r="M992" s="1"/>
    </row>
    <row r="993" spans="1:13" ht="13.2" x14ac:dyDescent="0.25">
      <c r="A993" s="1"/>
      <c r="B993" s="1"/>
      <c r="C993" s="1"/>
      <c r="D993" s="1"/>
      <c r="E993" s="1"/>
      <c r="F993" s="1"/>
      <c r="G993" s="1"/>
      <c r="H993" s="1"/>
      <c r="I993" s="1"/>
      <c r="J993" s="1"/>
      <c r="K993" s="1"/>
      <c r="L993" s="1"/>
      <c r="M993" s="1"/>
    </row>
    <row r="994" spans="1:13" ht="13.2" x14ac:dyDescent="0.25">
      <c r="A994" s="1"/>
      <c r="B994" s="1"/>
      <c r="C994" s="1"/>
      <c r="D994" s="1"/>
      <c r="E994" s="1"/>
      <c r="F994" s="1"/>
      <c r="G994" s="1"/>
      <c r="H994" s="1"/>
      <c r="I994" s="1"/>
      <c r="J994" s="1"/>
      <c r="K994" s="1"/>
      <c r="L994" s="1"/>
      <c r="M994" s="1"/>
    </row>
    <row r="995" spans="1:13" ht="13.2" x14ac:dyDescent="0.25">
      <c r="A995" s="1"/>
      <c r="B995" s="1"/>
      <c r="C995" s="1"/>
      <c r="D995" s="1"/>
      <c r="E995" s="1"/>
      <c r="F995" s="1"/>
      <c r="G995" s="1"/>
      <c r="H995" s="1"/>
      <c r="I995" s="1"/>
      <c r="J995" s="1"/>
      <c r="K995" s="1"/>
      <c r="L995" s="1"/>
      <c r="M995" s="1"/>
    </row>
    <row r="996" spans="1:13" ht="13.2" x14ac:dyDescent="0.25">
      <c r="A996" s="1"/>
      <c r="B996" s="1"/>
      <c r="C996" s="1"/>
      <c r="D996" s="1"/>
      <c r="E996" s="1"/>
      <c r="F996" s="1"/>
      <c r="G996" s="1"/>
      <c r="H996" s="1"/>
      <c r="I996" s="1"/>
      <c r="J996" s="1"/>
      <c r="K996" s="1"/>
      <c r="L996" s="1"/>
      <c r="M996" s="1"/>
    </row>
    <row r="997" spans="1:13" ht="13.2" x14ac:dyDescent="0.25">
      <c r="A997" s="1"/>
      <c r="B997" s="1"/>
      <c r="C997" s="1"/>
      <c r="D997" s="1"/>
      <c r="E997" s="1"/>
      <c r="F997" s="1"/>
      <c r="G997" s="1"/>
      <c r="H997" s="1"/>
      <c r="I997" s="1"/>
      <c r="J997" s="1"/>
      <c r="K997" s="1"/>
      <c r="L997" s="1"/>
      <c r="M997" s="1"/>
    </row>
    <row r="998" spans="1:13" ht="13.2" x14ac:dyDescent="0.25">
      <c r="A998" s="1"/>
      <c r="B998" s="1"/>
      <c r="C998" s="1"/>
      <c r="D998" s="1"/>
      <c r="E998" s="1"/>
      <c r="F998" s="1"/>
      <c r="G998" s="1"/>
      <c r="H998" s="1"/>
      <c r="I998" s="1"/>
      <c r="J998" s="1"/>
      <c r="K998" s="1"/>
      <c r="L998" s="1"/>
      <c r="M998" s="1"/>
    </row>
  </sheetData>
  <mergeCells count="25">
    <mergeCell ref="B90:B91"/>
    <mergeCell ref="B95:B102"/>
    <mergeCell ref="B55:B57"/>
    <mergeCell ref="B58:B60"/>
    <mergeCell ref="A71:A103"/>
    <mergeCell ref="B71:B79"/>
    <mergeCell ref="B80:B81"/>
    <mergeCell ref="B82:B86"/>
    <mergeCell ref="B87:B89"/>
    <mergeCell ref="B48:B49"/>
    <mergeCell ref="B50:B52"/>
    <mergeCell ref="B53:B54"/>
    <mergeCell ref="D3:G3"/>
    <mergeCell ref="A5:B5"/>
    <mergeCell ref="A9:A12"/>
    <mergeCell ref="B10:B12"/>
    <mergeCell ref="A14:A70"/>
    <mergeCell ref="B14:B22"/>
    <mergeCell ref="B23:B26"/>
    <mergeCell ref="B61:B68"/>
    <mergeCell ref="B28:B30"/>
    <mergeCell ref="B31:B32"/>
    <mergeCell ref="B33:B34"/>
    <mergeCell ref="B40:B41"/>
    <mergeCell ref="B42:B46"/>
  </mergeCells>
  <hyperlinks>
    <hyperlink ref="L20" r:id="rId1" xr:uid="{00000000-0004-0000-0000-000000000000}"/>
    <hyperlink ref="L25" r:id="rId2" xr:uid="{00000000-0004-0000-0000-000001000000}"/>
    <hyperlink ref="L27" r:id="rId3" xr:uid="{00000000-0004-0000-0000-000002000000}"/>
    <hyperlink ref="L28" r:id="rId4" xr:uid="{00000000-0004-0000-0000-000003000000}"/>
    <hyperlink ref="M28" r:id="rId5" xr:uid="{00000000-0004-0000-0000-000004000000}"/>
    <hyperlink ref="N28" r:id="rId6" xr:uid="{00000000-0004-0000-0000-000005000000}"/>
    <hyperlink ref="L30" r:id="rId7" xr:uid="{00000000-0004-0000-0000-000006000000}"/>
    <hyperlink ref="L36" r:id="rId8" xr:uid="{00000000-0004-0000-0000-000007000000}"/>
    <hyperlink ref="L38" r:id="rId9" xr:uid="{00000000-0004-0000-0000-000008000000}"/>
    <hyperlink ref="L41" r:id="rId10" xr:uid="{00000000-0004-0000-0000-000009000000}"/>
    <hyperlink ref="L44" r:id="rId11" xr:uid="{00000000-0004-0000-0000-00000A000000}"/>
    <hyperlink ref="L46" r:id="rId12" xr:uid="{00000000-0004-0000-0000-00000B000000}"/>
    <hyperlink ref="L49" r:id="rId13" xr:uid="{00000000-0004-0000-0000-00000C000000}"/>
    <hyperlink ref="L54" r:id="rId14" xr:uid="{00000000-0004-0000-0000-00000D000000}"/>
    <hyperlink ref="L55" r:id="rId15" xr:uid="{00000000-0004-0000-0000-00000E000000}"/>
    <hyperlink ref="L61" r:id="rId16" xr:uid="{00000000-0004-0000-0000-00000F000000}"/>
    <hyperlink ref="L69" r:id="rId17" xr:uid="{00000000-0004-0000-0000-000010000000}"/>
    <hyperlink ref="L74" r:id="rId18" xr:uid="{00000000-0004-0000-0000-000011000000}"/>
    <hyperlink ref="L77" r:id="rId19" xr:uid="{00000000-0004-0000-0000-000012000000}"/>
    <hyperlink ref="L78" r:id="rId20" xr:uid="{00000000-0004-0000-0000-000013000000}"/>
    <hyperlink ref="L80" r:id="rId21" xr:uid="{00000000-0004-0000-0000-000014000000}"/>
    <hyperlink ref="L81" r:id="rId22" xr:uid="{00000000-0004-0000-0000-000015000000}"/>
    <hyperlink ref="L83" r:id="rId23" xr:uid="{00000000-0004-0000-0000-000016000000}"/>
    <hyperlink ref="L86" r:id="rId24" xr:uid="{00000000-0004-0000-0000-000017000000}"/>
    <hyperlink ref="L88" r:id="rId25" xr:uid="{00000000-0004-0000-0000-000018000000}"/>
    <hyperlink ref="L89" r:id="rId26" xr:uid="{00000000-0004-0000-0000-000019000000}"/>
    <hyperlink ref="L90" r:id="rId27" xr:uid="{00000000-0004-0000-0000-00001A000000}"/>
    <hyperlink ref="L91" r:id="rId28" xr:uid="{00000000-0004-0000-0000-00001B000000}"/>
    <hyperlink ref="L92" r:id="rId29" xr:uid="{00000000-0004-0000-0000-00001C000000}"/>
    <hyperlink ref="L94" r:id="rId30" xr:uid="{00000000-0004-0000-0000-00001D000000}"/>
    <hyperlink ref="L95" r:id="rId31" xr:uid="{00000000-0004-0000-0000-00001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Nayak</cp:lastModifiedBy>
  <dcterms:modified xsi:type="dcterms:W3CDTF">2026-06-18T10:27:59Z</dcterms:modified>
</cp:coreProperties>
</file>